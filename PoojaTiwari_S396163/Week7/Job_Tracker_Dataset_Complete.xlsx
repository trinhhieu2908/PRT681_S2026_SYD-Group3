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FBAF1F7-71D5-4875-832A-D7411D2EB1BE}" xr6:coauthVersionLast="47" xr6:coauthVersionMax="47" xr10:uidLastSave="{00000000-0000-0000-0000-000000000000}"/>
  <bookViews>
    <workbookView xWindow="-98" yWindow="-98" windowWidth="21795" windowHeight="12975" tabRatio="500" firstSheet="1" activeTab="2" xr2:uid="{00000000-000D-0000-FFFF-FFFF00000000}"/>
  </bookViews>
  <sheets>
    <sheet name="Analysis Summary" sheetId="1" r:id="rId1"/>
    <sheet name="Users" sheetId="2" r:id="rId2"/>
    <sheet name="Applications" sheetId="3" r:id="rId3"/>
    <sheet name="StatusHistory" sheetId="4" r:id="rId4"/>
    <sheet name="Document" sheetId="5" r:id="rId5"/>
    <sheet name="Interview" sheetId="6" r:id="rId6"/>
    <sheet name="FollowUp" sheetId="7" r:id="rId7"/>
    <sheet name="Data 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3" i="7" l="1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C35" i="1"/>
  <c r="C34" i="1"/>
  <c r="C33" i="1"/>
  <c r="C29" i="1"/>
  <c r="C28" i="1"/>
  <c r="C27" i="1"/>
  <c r="C26" i="1"/>
  <c r="C25" i="1"/>
  <c r="C21" i="1"/>
  <c r="C20" i="1"/>
  <c r="C19" i="1"/>
  <c r="C18" i="1"/>
  <c r="C17" i="1"/>
  <c r="C16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<sst xmlns="http://schemas.openxmlformats.org/spreadsheetml/2006/main" count="2802" uniqueCount="1068">
  <si>
    <t>JOBTRACK DATASET — REQUIREMENTS-ALIGNED SYNTHETIC DATA</t>
  </si>
  <si>
    <t>Built to match every entity/field in BRD Section 10 and SRS Section 8</t>
  </si>
  <si>
    <t>Reference 'today' for overdue/upcoming calculations: 13 Sep 2026</t>
  </si>
  <si>
    <t>Entity</t>
  </si>
  <si>
    <t>Row count</t>
  </si>
  <si>
    <t>Notes</t>
  </si>
  <si>
    <t>Users</t>
  </si>
  <si>
    <t>Registered users</t>
  </si>
  <si>
    <t>Applications</t>
  </si>
  <si>
    <t>Job application records</t>
  </si>
  <si>
    <t>StatusHistory</t>
  </si>
  <si>
    <t>Status-change audit trail (FR-STA-03)</t>
  </si>
  <si>
    <t>Document</t>
  </si>
  <si>
    <t>Resume / cover letter versions (FR-DOC-01/02)</t>
  </si>
  <si>
    <t>Interview</t>
  </si>
  <si>
    <t>Interview rounds (FR-INT-01/02)</t>
  </si>
  <si>
    <t>FollowUp</t>
  </si>
  <si>
    <t>Follow-up reminders (FR-INT-03/04)</t>
  </si>
  <si>
    <t>Applications by CurrentStatus (FR-DASH-04)</t>
  </si>
  <si>
    <t>Status</t>
  </si>
  <si>
    <t>Count</t>
  </si>
  <si>
    <t>Applied</t>
  </si>
  <si>
    <t>Offer</t>
  </si>
  <si>
    <t>Rejected</t>
  </si>
  <si>
    <t>Withdrawn</t>
  </si>
  <si>
    <t>Archived</t>
  </si>
  <si>
    <t>Applications by Platform (FR-DASH-05)</t>
  </si>
  <si>
    <t>Platform</t>
  </si>
  <si>
    <t>SEEK</t>
  </si>
  <si>
    <t>LinkedIn</t>
  </si>
  <si>
    <t>Indeed</t>
  </si>
  <si>
    <t>Company Website</t>
  </si>
  <si>
    <t>Referral</t>
  </si>
  <si>
    <t>Dashboard-style live metrics (FR-DASH-01/02/03)</t>
  </si>
  <si>
    <t>Metric</t>
  </si>
  <si>
    <t>Value</t>
  </si>
  <si>
    <t>Active (non-archived) applications</t>
  </si>
  <si>
    <t>Upcoming interviews (next 7 days)</t>
  </si>
  <si>
    <t>Overdue follow-ups (not completed, date passed)</t>
  </si>
  <si>
    <t>Reference 'today' date used above:</t>
  </si>
  <si>
    <t>UserId</t>
  </si>
  <si>
    <t>Email</t>
  </si>
  <si>
    <t>PasswordHash</t>
  </si>
  <si>
    <t>CreatedDate</t>
  </si>
  <si>
    <t>Name</t>
  </si>
  <si>
    <t>Note: 'Name' is supplementary (not part of the BRD/SRS User entity) — kept only as a readable label.</t>
  </si>
  <si>
    <t>U001</t>
  </si>
  <si>
    <t>prince.sah@example.com</t>
  </si>
  <si>
    <t>$2b$12$2mYTi7v3qCEU.zUD6xf.s71zc7BwnGuKlaOcGLpyLWODDT.pLW6U.</t>
  </si>
  <si>
    <t>Prince Kumar Sah</t>
  </si>
  <si>
    <t>U002</t>
  </si>
  <si>
    <t>pooja.tiwari@example.com</t>
  </si>
  <si>
    <t>$2b$12$hzlWu0VZzgd/ytcm0qmG3jYlNSvZetmBa3Rzr4BehV3xoTBflDU8c</t>
  </si>
  <si>
    <t>Pooja Tiwari</t>
  </si>
  <si>
    <t>U003</t>
  </si>
  <si>
    <t>trinh.tran@example.com</t>
  </si>
  <si>
    <t>$2b$12$1CsqJ9ql3gECf1dquN7Jk4Ljm2liYOt1i/kwfmk2i9g/IdhAxolkE</t>
  </si>
  <si>
    <t>Trinh Hieu Tran</t>
  </si>
  <si>
    <t>U004</t>
  </si>
  <si>
    <t>demo.user4@example.com</t>
  </si>
  <si>
    <t>$2b$12$/UC756ZdQi85lLReDhODarYReEXhIZqGW2zzG6zrrGxdWzR5Ut3Xm</t>
  </si>
  <si>
    <t>Demo User 4</t>
  </si>
  <si>
    <t>U005</t>
  </si>
  <si>
    <t>demo.user5@example.com</t>
  </si>
  <si>
    <t>$2b$12$1nyARhtViEasdqtlP3Mdp2p9gLdFcXK4hx.2.Y4vE7qw8wuc7tTdP</t>
  </si>
  <si>
    <t>Demo User 5</t>
  </si>
  <si>
    <t>ApplicationId</t>
  </si>
  <si>
    <t>CompanyName</t>
  </si>
  <si>
    <t>RoleTitle</t>
  </si>
  <si>
    <t>ApplicationDate</t>
  </si>
  <si>
    <t>CurrentStatus</t>
  </si>
  <si>
    <t>PortfolioLink</t>
  </si>
  <si>
    <t>GitHubLink</t>
  </si>
  <si>
    <t>A001</t>
  </si>
  <si>
    <t>Telstra</t>
  </si>
  <si>
    <t>Business Analyst</t>
  </si>
  <si>
    <t>A002</t>
  </si>
  <si>
    <t>ANZ Bank</t>
  </si>
  <si>
    <t>Graduate Software Developer</t>
  </si>
  <si>
    <t>https://portfolio.dev/u002-a002</t>
  </si>
  <si>
    <t>A003</t>
  </si>
  <si>
    <t>Atlassian</t>
  </si>
  <si>
    <t>QA Engineer</t>
  </si>
  <si>
    <t>https://portfolio.dev/u003-a003</t>
  </si>
  <si>
    <t>https://github.com/u00368</t>
  </si>
  <si>
    <t>A004</t>
  </si>
  <si>
    <t>DataWorks Australia</t>
  </si>
  <si>
    <t>Automation Tester</t>
  </si>
  <si>
    <t>https://portfolio.dev/u004-a004</t>
  </si>
  <si>
    <t>A005</t>
  </si>
  <si>
    <t>Canva</t>
  </si>
  <si>
    <t>Software Engineer</t>
  </si>
  <si>
    <t>A006</t>
  </si>
  <si>
    <t>Optus</t>
  </si>
  <si>
    <t>Network Support Analyst</t>
  </si>
  <si>
    <t>https://portfolio.dev/u001-a006</t>
  </si>
  <si>
    <t>A007</t>
  </si>
  <si>
    <t>Service NSW</t>
  </si>
  <si>
    <t>Digital Support Officer</t>
  </si>
  <si>
    <t>https://github.com/u00290</t>
  </si>
  <si>
    <t>A008</t>
  </si>
  <si>
    <t>Qantas</t>
  </si>
  <si>
    <t>Data Engineer</t>
  </si>
  <si>
    <t>https://portfolio.dev/u003-a008</t>
  </si>
  <si>
    <t>https://github.com/u00383</t>
  </si>
  <si>
    <t>A009</t>
  </si>
  <si>
    <t>https://portfolio.dev/u004-a009</t>
  </si>
  <si>
    <t>https://github.com/u00464</t>
  </si>
  <si>
    <t>A010</t>
  </si>
  <si>
    <t>Accenture Australia</t>
  </si>
  <si>
    <t>Product Analyst</t>
  </si>
  <si>
    <t>https://portfolio.dev/u005-a010</t>
  </si>
  <si>
    <t>https://github.com/u00567</t>
  </si>
  <si>
    <t>A011</t>
  </si>
  <si>
    <t>https://portfolio.dev/u001-a011</t>
  </si>
  <si>
    <t>A012</t>
  </si>
  <si>
    <t>https://portfolio.dev/u002-a012</t>
  </si>
  <si>
    <t>https://github.com/u00259</t>
  </si>
  <si>
    <t>A013</t>
  </si>
  <si>
    <t>NSW Government</t>
  </si>
  <si>
    <t>IT Support Officer</t>
  </si>
  <si>
    <t>https://portfolio.dev/u003-a013</t>
  </si>
  <si>
    <t>https://github.com/u00317</t>
  </si>
  <si>
    <t>A014</t>
  </si>
  <si>
    <t>REA Group</t>
  </si>
  <si>
    <t>Data Analyst</t>
  </si>
  <si>
    <t>https://github.com/u00425</t>
  </si>
  <si>
    <t>A015</t>
  </si>
  <si>
    <t>https://github.com/u00543</t>
  </si>
  <si>
    <t>A016</t>
  </si>
  <si>
    <t>Westpac Digital</t>
  </si>
  <si>
    <t>UI/UX Designer</t>
  </si>
  <si>
    <t>A017</t>
  </si>
  <si>
    <t>RetailPlus</t>
  </si>
  <si>
    <t>A018</t>
  </si>
  <si>
    <t>https://github.com/u00311</t>
  </si>
  <si>
    <t>A019</t>
  </si>
  <si>
    <t>https://portfolio.dev/u004-a019</t>
  </si>
  <si>
    <t>https://github.com/u00423</t>
  </si>
  <si>
    <t>A020</t>
  </si>
  <si>
    <t>https://portfolio.dev/u005-a020</t>
  </si>
  <si>
    <t>A021</t>
  </si>
  <si>
    <t>https://portfolio.dev/u001-a021</t>
  </si>
  <si>
    <t>A022</t>
  </si>
  <si>
    <t>SEEK Ltd</t>
  </si>
  <si>
    <t>Associate Software Engineer</t>
  </si>
  <si>
    <t>https://github.com/u00278</t>
  </si>
  <si>
    <t>A023</t>
  </si>
  <si>
    <t>https://portfolio.dev/u003-a023</t>
  </si>
  <si>
    <t>A024</t>
  </si>
  <si>
    <t>NAB</t>
  </si>
  <si>
    <t>Test Analyst</t>
  </si>
  <si>
    <t>https://portfolio.dev/u004-a024</t>
  </si>
  <si>
    <t>A025</t>
  </si>
  <si>
    <t>https://portfolio.dev/u005-a025</t>
  </si>
  <si>
    <t>A026</t>
  </si>
  <si>
    <t>Cochlear</t>
  </si>
  <si>
    <t>Software Test Engineer</t>
  </si>
  <si>
    <t>https://portfolio.dev/u001-a026</t>
  </si>
  <si>
    <t>https://github.com/u00184</t>
  </si>
  <si>
    <t>A027</t>
  </si>
  <si>
    <t>https://portfolio.dev/u002-a027</t>
  </si>
  <si>
    <t>A028</t>
  </si>
  <si>
    <t>https://portfolio.dev/u003-a028</t>
  </si>
  <si>
    <t>A029</t>
  </si>
  <si>
    <t>https://portfolio.dev/u004-a029</t>
  </si>
  <si>
    <t>A030</t>
  </si>
  <si>
    <t>https://portfolio.dev/u005-a030</t>
  </si>
  <si>
    <t>https://github.com/u00566</t>
  </si>
  <si>
    <t>A031</t>
  </si>
  <si>
    <t>Transport for NSW</t>
  </si>
  <si>
    <t>https://portfolio.dev/u001-a031</t>
  </si>
  <si>
    <t>https://github.com/u00169</t>
  </si>
  <si>
    <t>A032</t>
  </si>
  <si>
    <t>https://portfolio.dev/u002-a032</t>
  </si>
  <si>
    <t>https://github.com/u00255</t>
  </si>
  <si>
    <t>A033</t>
  </si>
  <si>
    <t>https://portfolio.dev/u003-a033</t>
  </si>
  <si>
    <t>https://github.com/u00372</t>
  </si>
  <si>
    <t>A034</t>
  </si>
  <si>
    <t>A035</t>
  </si>
  <si>
    <t>https://portfolio.dev/u005-a035</t>
  </si>
  <si>
    <t>https://github.com/u00512</t>
  </si>
  <si>
    <t>A036</t>
  </si>
  <si>
    <t>https://portfolio.dev/u001-a036</t>
  </si>
  <si>
    <t>https://github.com/u00137</t>
  </si>
  <si>
    <t>A037</t>
  </si>
  <si>
    <t>https://portfolio.dev/u002-a037</t>
  </si>
  <si>
    <t>A038</t>
  </si>
  <si>
    <t>https://portfolio.dev/u003-a038</t>
  </si>
  <si>
    <t>A039</t>
  </si>
  <si>
    <t>https://portfolio.dev/u004-a039</t>
  </si>
  <si>
    <t>A040</t>
  </si>
  <si>
    <t>Xero</t>
  </si>
  <si>
    <t>Full Stack Developer</t>
  </si>
  <si>
    <t>https://github.com/u00573</t>
  </si>
  <si>
    <t>A041</t>
  </si>
  <si>
    <t>https://portfolio.dev/u001-a041</t>
  </si>
  <si>
    <t>https://github.com/u00140</t>
  </si>
  <si>
    <t>A042</t>
  </si>
  <si>
    <t>https://portfolio.dev/u002-a042</t>
  </si>
  <si>
    <t>A043</t>
  </si>
  <si>
    <t>A044</t>
  </si>
  <si>
    <t>https://portfolio.dev/u004-a044</t>
  </si>
  <si>
    <t>A045</t>
  </si>
  <si>
    <t>https://portfolio.dev/u005-a045</t>
  </si>
  <si>
    <t>A046</t>
  </si>
  <si>
    <t>A047</t>
  </si>
  <si>
    <t>A048</t>
  </si>
  <si>
    <t>Commonwealth Bank</t>
  </si>
  <si>
    <t>Backend Developer</t>
  </si>
  <si>
    <t>https://portfolio.dev/u003-a048</t>
  </si>
  <si>
    <t>A049</t>
  </si>
  <si>
    <t>A050</t>
  </si>
  <si>
    <t>A051</t>
  </si>
  <si>
    <t>A052</t>
  </si>
  <si>
    <t>https://portfolio.dev/u002-a052</t>
  </si>
  <si>
    <t>https://github.com/u00230</t>
  </si>
  <si>
    <t>A053</t>
  </si>
  <si>
    <t>Frontend Developer</t>
  </si>
  <si>
    <t>https://portfolio.dev/u003-a053</t>
  </si>
  <si>
    <t>https://github.com/u00356</t>
  </si>
  <si>
    <t>A054</t>
  </si>
  <si>
    <t>https://portfolio.dev/u004-a054</t>
  </si>
  <si>
    <t>A055</t>
  </si>
  <si>
    <t>A056</t>
  </si>
  <si>
    <t>https://portfolio.dev/u001-a056</t>
  </si>
  <si>
    <t>A057</t>
  </si>
  <si>
    <t>Coles Group</t>
  </si>
  <si>
    <t>IT Helpdesk Analyst</t>
  </si>
  <si>
    <t>https://portfolio.dev/u002-a057</t>
  </si>
  <si>
    <t>A058</t>
  </si>
  <si>
    <t>https://portfolio.dev/u003-a058</t>
  </si>
  <si>
    <t>A059</t>
  </si>
  <si>
    <t>https://github.com/u00450</t>
  </si>
  <si>
    <t>A060</t>
  </si>
  <si>
    <t>https://portfolio.dev/u005-a060</t>
  </si>
  <si>
    <t>https://github.com/u00593</t>
  </si>
  <si>
    <t>A061</t>
  </si>
  <si>
    <t>A062</t>
  </si>
  <si>
    <t>A063</t>
  </si>
  <si>
    <t>https://portfolio.dev/u003-a063</t>
  </si>
  <si>
    <t>https://github.com/u00377</t>
  </si>
  <si>
    <t>A064</t>
  </si>
  <si>
    <t>A065</t>
  </si>
  <si>
    <t>A066</t>
  </si>
  <si>
    <t>https://portfolio.dev/u001-a066</t>
  </si>
  <si>
    <t>A067</t>
  </si>
  <si>
    <t>A068</t>
  </si>
  <si>
    <t>Domain Group</t>
  </si>
  <si>
    <t>Frontend Engineer</t>
  </si>
  <si>
    <t>https://portfolio.dev/u003-a068</t>
  </si>
  <si>
    <t>https://github.com/u00384</t>
  </si>
  <si>
    <t>A069</t>
  </si>
  <si>
    <t>A070</t>
  </si>
  <si>
    <t>https://portfolio.dev/u005-a070</t>
  </si>
  <si>
    <t>A071</t>
  </si>
  <si>
    <t>https://github.com/u00139</t>
  </si>
  <si>
    <t>A072</t>
  </si>
  <si>
    <t>https://portfolio.dev/u002-a072</t>
  </si>
  <si>
    <t>https://github.com/u00214</t>
  </si>
  <si>
    <t>A073</t>
  </si>
  <si>
    <t>A074</t>
  </si>
  <si>
    <t>https://portfolio.dev/u004-a074</t>
  </si>
  <si>
    <t>A075</t>
  </si>
  <si>
    <t>Macquarie Group</t>
  </si>
  <si>
    <t>Analyst Programmer</t>
  </si>
  <si>
    <t>https://portfolio.dev/u005-a075</t>
  </si>
  <si>
    <t>https://github.com/u00582</t>
  </si>
  <si>
    <t>A076</t>
  </si>
  <si>
    <t>https://portfolio.dev/u001-a076</t>
  </si>
  <si>
    <t>A077</t>
  </si>
  <si>
    <t>https://portfolio.dev/u002-a077</t>
  </si>
  <si>
    <t>https://github.com/u00263</t>
  </si>
  <si>
    <t>A078</t>
  </si>
  <si>
    <t>https://portfolio.dev/u003-a078</t>
  </si>
  <si>
    <t>A079</t>
  </si>
  <si>
    <t>A080</t>
  </si>
  <si>
    <t>A081</t>
  </si>
  <si>
    <t>https://portfolio.dev/u001-a081</t>
  </si>
  <si>
    <t>https://github.com/u00170</t>
  </si>
  <si>
    <t>A082</t>
  </si>
  <si>
    <t>https://portfolio.dev/u002-a082</t>
  </si>
  <si>
    <t>A083</t>
  </si>
  <si>
    <t>https://portfolio.dev/u003-a083</t>
  </si>
  <si>
    <t>https://github.com/u00381</t>
  </si>
  <si>
    <t>A084</t>
  </si>
  <si>
    <t>https://portfolio.dev/u004-a084</t>
  </si>
  <si>
    <t>A085</t>
  </si>
  <si>
    <t>A086</t>
  </si>
  <si>
    <t>https://github.com/u00194</t>
  </si>
  <si>
    <t>A087</t>
  </si>
  <si>
    <t>Woolworths Group</t>
  </si>
  <si>
    <t>Business Systems Analyst</t>
  </si>
  <si>
    <t>https://portfolio.dev/u002-a087</t>
  </si>
  <si>
    <t>A088</t>
  </si>
  <si>
    <t>A089</t>
  </si>
  <si>
    <t>https://portfolio.dev/u004-a089</t>
  </si>
  <si>
    <t>https://github.com/u00481</t>
  </si>
  <si>
    <t>A090</t>
  </si>
  <si>
    <t>A091</t>
  </si>
  <si>
    <t>A092</t>
  </si>
  <si>
    <t>https://portfolio.dev/u002-a092</t>
  </si>
  <si>
    <t>A093</t>
  </si>
  <si>
    <t>https://portfolio.dev/u003-a093</t>
  </si>
  <si>
    <t>A094</t>
  </si>
  <si>
    <t>https://portfolio.dev/u004-a094</t>
  </si>
  <si>
    <t>https://github.com/u00487</t>
  </si>
  <si>
    <t>A095</t>
  </si>
  <si>
    <t>https://portfolio.dev/u005-a095</t>
  </si>
  <si>
    <t>A096</t>
  </si>
  <si>
    <t>https://portfolio.dev/u001-a096</t>
  </si>
  <si>
    <t>A097</t>
  </si>
  <si>
    <t>https://portfolio.dev/u002-a097</t>
  </si>
  <si>
    <t>A098</t>
  </si>
  <si>
    <t>https://github.com/u00353</t>
  </si>
  <si>
    <t>A099</t>
  </si>
  <si>
    <t>https://portfolio.dev/u004-a099</t>
  </si>
  <si>
    <t>A100</t>
  </si>
  <si>
    <t>StatusHistoryId</t>
  </si>
  <si>
    <t>OldStatus</t>
  </si>
  <si>
    <t>NewStatus</t>
  </si>
  <si>
    <t>ChangedDate</t>
  </si>
  <si>
    <t>SH001</t>
  </si>
  <si>
    <t>SH002</t>
  </si>
  <si>
    <t>SH003</t>
  </si>
  <si>
    <t>SH004</t>
  </si>
  <si>
    <t>SH005</t>
  </si>
  <si>
    <t>SH006</t>
  </si>
  <si>
    <t>SH007</t>
  </si>
  <si>
    <t>SH008</t>
  </si>
  <si>
    <t>SH009</t>
  </si>
  <si>
    <t>SH010</t>
  </si>
  <si>
    <t>SH011</t>
  </si>
  <si>
    <t>SH012</t>
  </si>
  <si>
    <t>SH013</t>
  </si>
  <si>
    <t>SH014</t>
  </si>
  <si>
    <t>SH015</t>
  </si>
  <si>
    <t>SH016</t>
  </si>
  <si>
    <t>SH017</t>
  </si>
  <si>
    <t>SH018</t>
  </si>
  <si>
    <t>SH019</t>
  </si>
  <si>
    <t>SH020</t>
  </si>
  <si>
    <t>SH021</t>
  </si>
  <si>
    <t>SH022</t>
  </si>
  <si>
    <t>SH023</t>
  </si>
  <si>
    <t>SH024</t>
  </si>
  <si>
    <t>SH025</t>
  </si>
  <si>
    <t>SH026</t>
  </si>
  <si>
    <t>SH027</t>
  </si>
  <si>
    <t>SH028</t>
  </si>
  <si>
    <t>SH029</t>
  </si>
  <si>
    <t>SH030</t>
  </si>
  <si>
    <t>SH031</t>
  </si>
  <si>
    <t>SH032</t>
  </si>
  <si>
    <t>SH033</t>
  </si>
  <si>
    <t>SH034</t>
  </si>
  <si>
    <t>SH035</t>
  </si>
  <si>
    <t>SH036</t>
  </si>
  <si>
    <t>SH037</t>
  </si>
  <si>
    <t>SH038</t>
  </si>
  <si>
    <t>SH039</t>
  </si>
  <si>
    <t>SH040</t>
  </si>
  <si>
    <t>SH041</t>
  </si>
  <si>
    <t>SH042</t>
  </si>
  <si>
    <t>SH043</t>
  </si>
  <si>
    <t>SH044</t>
  </si>
  <si>
    <t>SH045</t>
  </si>
  <si>
    <t>SH046</t>
  </si>
  <si>
    <t>SH047</t>
  </si>
  <si>
    <t>SH048</t>
  </si>
  <si>
    <t>SH049</t>
  </si>
  <si>
    <t>SH050</t>
  </si>
  <si>
    <t>SH051</t>
  </si>
  <si>
    <t>SH052</t>
  </si>
  <si>
    <t>SH053</t>
  </si>
  <si>
    <t>SH054</t>
  </si>
  <si>
    <t>SH055</t>
  </si>
  <si>
    <t>SH056</t>
  </si>
  <si>
    <t>SH057</t>
  </si>
  <si>
    <t>SH058</t>
  </si>
  <si>
    <t>SH059</t>
  </si>
  <si>
    <t>SH060</t>
  </si>
  <si>
    <t>SH061</t>
  </si>
  <si>
    <t>SH062</t>
  </si>
  <si>
    <t>SH063</t>
  </si>
  <si>
    <t>SH064</t>
  </si>
  <si>
    <t>SH065</t>
  </si>
  <si>
    <t>SH066</t>
  </si>
  <si>
    <t>SH067</t>
  </si>
  <si>
    <t>SH068</t>
  </si>
  <si>
    <t>SH069</t>
  </si>
  <si>
    <t>SH070</t>
  </si>
  <si>
    <t>SH071</t>
  </si>
  <si>
    <t>SH072</t>
  </si>
  <si>
    <t>SH073</t>
  </si>
  <si>
    <t>SH074</t>
  </si>
  <si>
    <t>SH075</t>
  </si>
  <si>
    <t>SH076</t>
  </si>
  <si>
    <t>SH077</t>
  </si>
  <si>
    <t>SH078</t>
  </si>
  <si>
    <t>SH079</t>
  </si>
  <si>
    <t>SH080</t>
  </si>
  <si>
    <t>SH081</t>
  </si>
  <si>
    <t>SH082</t>
  </si>
  <si>
    <t>SH083</t>
  </si>
  <si>
    <t>SH084</t>
  </si>
  <si>
    <t>SH085</t>
  </si>
  <si>
    <t>SH086</t>
  </si>
  <si>
    <t>SH087</t>
  </si>
  <si>
    <t>SH088</t>
  </si>
  <si>
    <t>SH089</t>
  </si>
  <si>
    <t>SH090</t>
  </si>
  <si>
    <t>SH091</t>
  </si>
  <si>
    <t>SH092</t>
  </si>
  <si>
    <t>SH093</t>
  </si>
  <si>
    <t>SH094</t>
  </si>
  <si>
    <t>SH095</t>
  </si>
  <si>
    <t>SH096</t>
  </si>
  <si>
    <t>SH097</t>
  </si>
  <si>
    <t>SH098</t>
  </si>
  <si>
    <t>SH099</t>
  </si>
  <si>
    <t>SH100</t>
  </si>
  <si>
    <t>SH101</t>
  </si>
  <si>
    <t>SH102</t>
  </si>
  <si>
    <t>SH103</t>
  </si>
  <si>
    <t>SH104</t>
  </si>
  <si>
    <t>SH105</t>
  </si>
  <si>
    <t>SH106</t>
  </si>
  <si>
    <t>SH107</t>
  </si>
  <si>
    <t>SH108</t>
  </si>
  <si>
    <t>SH109</t>
  </si>
  <si>
    <t>SH110</t>
  </si>
  <si>
    <t>SH111</t>
  </si>
  <si>
    <t>SH112</t>
  </si>
  <si>
    <t>SH113</t>
  </si>
  <si>
    <t>SH114</t>
  </si>
  <si>
    <t>SH115</t>
  </si>
  <si>
    <t>SH116</t>
  </si>
  <si>
    <t>SH117</t>
  </si>
  <si>
    <t>SH118</t>
  </si>
  <si>
    <t>SH119</t>
  </si>
  <si>
    <t>SH120</t>
  </si>
  <si>
    <t>SH121</t>
  </si>
  <si>
    <t>SH122</t>
  </si>
  <si>
    <t>SH123</t>
  </si>
  <si>
    <t>SH124</t>
  </si>
  <si>
    <t>SH125</t>
  </si>
  <si>
    <t>SH126</t>
  </si>
  <si>
    <t>SH127</t>
  </si>
  <si>
    <t>SH128</t>
  </si>
  <si>
    <t>SH129</t>
  </si>
  <si>
    <t>DocumentId</t>
  </si>
  <si>
    <t>Type</t>
  </si>
  <si>
    <t>VersionName</t>
  </si>
  <si>
    <t>FileLinkOrNote</t>
  </si>
  <si>
    <t>D001</t>
  </si>
  <si>
    <t>Resume</t>
  </si>
  <si>
    <t>Resume_v2</t>
  </si>
  <si>
    <t>https://drive.example.com/resumes/u001/Resume_v2.pdf</t>
  </si>
  <si>
    <t>D002</t>
  </si>
  <si>
    <t>CoverLetter</t>
  </si>
  <si>
    <t>CoverLetter_Telstra</t>
  </si>
  <si>
    <t>https://drive.example.com/cover-letters/u001/CoverLetter_Telstra.pdf</t>
  </si>
  <si>
    <t>D003</t>
  </si>
  <si>
    <t>Resume_v1</t>
  </si>
  <si>
    <t>https://drive.example.com/resumes/u002/Resume_v1.pdf</t>
  </si>
  <si>
    <t>D004</t>
  </si>
  <si>
    <t>CoverLetter_ANZ</t>
  </si>
  <si>
    <t>https://drive.example.com/cover-letters/u002/CoverLetter_ANZ.pdf</t>
  </si>
  <si>
    <t>D005</t>
  </si>
  <si>
    <t>https://drive.example.com/resumes/u003/Resume_v1.pdf</t>
  </si>
  <si>
    <t>D006</t>
  </si>
  <si>
    <t>https://drive.example.com/resumes/u004/Resume_v1.pdf</t>
  </si>
  <si>
    <t>D007</t>
  </si>
  <si>
    <t>CoverLetter_DataWorks</t>
  </si>
  <si>
    <t>https://drive.example.com/cover-letters/u004/CoverLetter_DataWorks.pdf</t>
  </si>
  <si>
    <t>D008</t>
  </si>
  <si>
    <t>https://drive.example.com/resumes/u005/Resume_v2.pdf</t>
  </si>
  <si>
    <t>D009</t>
  </si>
  <si>
    <t>CoverLetter_Canva</t>
  </si>
  <si>
    <t>https://drive.example.com/cover-letters/u005/CoverLetter_Canva.pdf</t>
  </si>
  <si>
    <t>D010</t>
  </si>
  <si>
    <t>Resume_v3</t>
  </si>
  <si>
    <t>https://drive.example.com/resumes/u001/Resume_v3.pdf</t>
  </si>
  <si>
    <t>D011</t>
  </si>
  <si>
    <t>CoverLetter_Optus</t>
  </si>
  <si>
    <t>https://drive.example.com/cover-letters/u001/CoverLetter_Optus.pdf</t>
  </si>
  <si>
    <t>D012</t>
  </si>
  <si>
    <t>D013</t>
  </si>
  <si>
    <t>CoverLetter_Service</t>
  </si>
  <si>
    <t>https://drive.example.com/cover-letters/u002/CoverLetter_Service.pdf</t>
  </si>
  <si>
    <t>D014</t>
  </si>
  <si>
    <t>Resume_v4</t>
  </si>
  <si>
    <t>https://drive.example.com/resumes/u003/Resume_v4.pdf</t>
  </si>
  <si>
    <t>D015</t>
  </si>
  <si>
    <t>CoverLetter_Qantas</t>
  </si>
  <si>
    <t>https://drive.example.com/cover-letters/u003/CoverLetter_Qantas.pdf</t>
  </si>
  <si>
    <t>D016</t>
  </si>
  <si>
    <t>https://drive.example.com/resumes/u004/Resume_v4.pdf</t>
  </si>
  <si>
    <t>D017</t>
  </si>
  <si>
    <t>https://drive.example.com/cover-letters/u004/CoverLetter_Optus.pdf</t>
  </si>
  <si>
    <t>D018</t>
  </si>
  <si>
    <t>D019</t>
  </si>
  <si>
    <t>CoverLetter_Accenture</t>
  </si>
  <si>
    <t>https://drive.example.com/cover-letters/u005/CoverLetter_Accenture.pdf</t>
  </si>
  <si>
    <t>D020</t>
  </si>
  <si>
    <t>https://drive.example.com/resumes/u001/Resume_v1.pdf</t>
  </si>
  <si>
    <t>D021</t>
  </si>
  <si>
    <t>https://drive.example.com/resumes/u002/Resume_v3.pdf</t>
  </si>
  <si>
    <t>D022</t>
  </si>
  <si>
    <t>D023</t>
  </si>
  <si>
    <t>https://drive.example.com/resumes/u004/Resume_v2.pdf</t>
  </si>
  <si>
    <t>D024</t>
  </si>
  <si>
    <t>CoverLetter_REA</t>
  </si>
  <si>
    <t>https://drive.example.com/cover-letters/u004/CoverLetter_REA.pdf</t>
  </si>
  <si>
    <t>D025</t>
  </si>
  <si>
    <t>https://drive.example.com/resumes/u005/Resume_v4.pdf</t>
  </si>
  <si>
    <t>D026</t>
  </si>
  <si>
    <t>https://drive.example.com/cover-letters/u005/CoverLetter_Optus.pdf</t>
  </si>
  <si>
    <t>D027</t>
  </si>
  <si>
    <t>D028</t>
  </si>
  <si>
    <t>CoverLetter_Westpac</t>
  </si>
  <si>
    <t>https://drive.example.com/cover-letters/u001/CoverLetter_Westpac.pdf</t>
  </si>
  <si>
    <t>D029</t>
  </si>
  <si>
    <t>https://drive.example.com/resumes/u002/Resume_v2.pdf</t>
  </si>
  <si>
    <t>D030</t>
  </si>
  <si>
    <t>CoverLetter_RetailPlus</t>
  </si>
  <si>
    <t>https://drive.example.com/cover-letters/u002/CoverLetter_RetailPlus.pdf</t>
  </si>
  <si>
    <t>D031</t>
  </si>
  <si>
    <t>D032</t>
  </si>
  <si>
    <t>CoverLetter_Atlassian</t>
  </si>
  <si>
    <t>https://drive.example.com/cover-letters/u003/CoverLetter_Atlassian.pdf</t>
  </si>
  <si>
    <t>D033</t>
  </si>
  <si>
    <t>https://drive.example.com/resumes/u004/Resume_v3.pdf</t>
  </si>
  <si>
    <t>D034</t>
  </si>
  <si>
    <t>https://drive.example.com/resumes/u005/Resume_v3.pdf</t>
  </si>
  <si>
    <t>D035</t>
  </si>
  <si>
    <t>https://drive.example.com/resumes/u001/Resume_v4.pdf</t>
  </si>
  <si>
    <t>D036</t>
  </si>
  <si>
    <t>https://drive.example.com/cover-letters/u001/CoverLetter_RetailPlus.pdf</t>
  </si>
  <si>
    <t>D037</t>
  </si>
  <si>
    <t>D038</t>
  </si>
  <si>
    <t>https://drive.example.com/resumes/u003/Resume_v3.pdf</t>
  </si>
  <si>
    <t>D039</t>
  </si>
  <si>
    <t>D040</t>
  </si>
  <si>
    <t>D041</t>
  </si>
  <si>
    <t>CoverLetter_NAB</t>
  </si>
  <si>
    <t>https://drive.example.com/cover-letters/u004/CoverLetter_NAB.pdf</t>
  </si>
  <si>
    <t>D042</t>
  </si>
  <si>
    <t>D043</t>
  </si>
  <si>
    <t>https://drive.example.com/cover-letters/u005/CoverLetter_Qantas.pdf</t>
  </si>
  <si>
    <t>D044</t>
  </si>
  <si>
    <t>D045</t>
  </si>
  <si>
    <t>CoverLetter_Cochlear</t>
  </si>
  <si>
    <t>https://drive.example.com/cover-letters/u001/CoverLetter_Cochlear.pdf</t>
  </si>
  <si>
    <t>D046</t>
  </si>
  <si>
    <t>D047</t>
  </si>
  <si>
    <t>https://drive.example.com/cover-letters/u002/CoverLetter_Telstra.pdf</t>
  </si>
  <si>
    <t>D048</t>
  </si>
  <si>
    <t>https://drive.example.com/resumes/u003/Resume_v2.pdf</t>
  </si>
  <si>
    <t>D049</t>
  </si>
  <si>
    <t>D050</t>
  </si>
  <si>
    <t>https://drive.example.com/resumes/u005/Resume_v1.pdf</t>
  </si>
  <si>
    <t>D051</t>
  </si>
  <si>
    <t>D052</t>
  </si>
  <si>
    <t>CoverLetter_Transport</t>
  </si>
  <si>
    <t>https://drive.example.com/cover-letters/u001/CoverLetter_Transport.pdf</t>
  </si>
  <si>
    <t>D053</t>
  </si>
  <si>
    <t>D054</t>
  </si>
  <si>
    <t>D055</t>
  </si>
  <si>
    <t>https://drive.example.com/cover-letters/u003/CoverLetter_Optus.pdf</t>
  </si>
  <si>
    <t>D056</t>
  </si>
  <si>
    <t>D057</t>
  </si>
  <si>
    <t>D058</t>
  </si>
  <si>
    <t>D059</t>
  </si>
  <si>
    <t>https://drive.example.com/cover-letters/u001/CoverLetter_Canva.pdf</t>
  </si>
  <si>
    <t>D060</t>
  </si>
  <si>
    <t>D061</t>
  </si>
  <si>
    <t>D062</t>
  </si>
  <si>
    <t>D063</t>
  </si>
  <si>
    <t>https://drive.example.com/cover-letters/u004/CoverLetter_RetailPlus.pdf</t>
  </si>
  <si>
    <t>D064</t>
  </si>
  <si>
    <t>D065</t>
  </si>
  <si>
    <t>CoverLetter_Xero</t>
  </si>
  <si>
    <t>https://drive.example.com/cover-letters/u005/CoverLetter_Xero.pdf</t>
  </si>
  <si>
    <t>D066</t>
  </si>
  <si>
    <t>D067</t>
  </si>
  <si>
    <t>D068</t>
  </si>
  <si>
    <t>D069</t>
  </si>
  <si>
    <t>D070</t>
  </si>
  <si>
    <t>D071</t>
  </si>
  <si>
    <t>D072</t>
  </si>
  <si>
    <t>D073</t>
  </si>
  <si>
    <t>https://drive.example.com/cover-letters/u004/CoverLetter_Transport.pdf</t>
  </si>
  <si>
    <t>D074</t>
  </si>
  <si>
    <t>D075</t>
  </si>
  <si>
    <t>https://drive.example.com/cover-letters/u005/CoverLetter_RetailPlus.pdf</t>
  </si>
  <si>
    <t>D076</t>
  </si>
  <si>
    <t>D077</t>
  </si>
  <si>
    <t>D078</t>
  </si>
  <si>
    <t>D079</t>
  </si>
  <si>
    <t>CoverLetter_Commonwealth</t>
  </si>
  <si>
    <t>https://drive.example.com/cover-letters/u003/CoverLetter_Commonwealth.pdf</t>
  </si>
  <si>
    <t>D080</t>
  </si>
  <si>
    <t>D081</t>
  </si>
  <si>
    <t>CoverLetter_NSW</t>
  </si>
  <si>
    <t>https://drive.example.com/cover-letters/u004/CoverLetter_NSW.pdf</t>
  </si>
  <si>
    <t>D082</t>
  </si>
  <si>
    <t>D083</t>
  </si>
  <si>
    <t>https://drive.example.com/cover-letters/u005/CoverLetter_Westpac.pdf</t>
  </si>
  <si>
    <t>D084</t>
  </si>
  <si>
    <t>D085</t>
  </si>
  <si>
    <t>D086</t>
  </si>
  <si>
    <t>https://drive.example.com/cover-letters/u002/CoverLetter_Optus.pdf</t>
  </si>
  <si>
    <t>D087</t>
  </si>
  <si>
    <t>D088</t>
  </si>
  <si>
    <t>https://drive.example.com/cover-letters/u003/CoverLetter_DataWorks.pdf</t>
  </si>
  <si>
    <t>D089</t>
  </si>
  <si>
    <t>D090</t>
  </si>
  <si>
    <t>https://drive.example.com/cover-letters/u004/CoverLetter_Telstra.pdf</t>
  </si>
  <si>
    <t>D091</t>
  </si>
  <si>
    <t>D092</t>
  </si>
  <si>
    <t>D093</t>
  </si>
  <si>
    <t>D094</t>
  </si>
  <si>
    <t>D095</t>
  </si>
  <si>
    <t>D096</t>
  </si>
  <si>
    <t>D097</t>
  </si>
  <si>
    <t>https://drive.example.com/cover-letters/u003/CoverLetter_NSW.pdf</t>
  </si>
  <si>
    <t>D098</t>
  </si>
  <si>
    <t>D099</t>
  </si>
  <si>
    <t>D100</t>
  </si>
  <si>
    <t>D101</t>
  </si>
  <si>
    <t>D102</t>
  </si>
  <si>
    <t>D103</t>
  </si>
  <si>
    <t>CoverLetter_Coles</t>
  </si>
  <si>
    <t>https://drive.example.com/cover-letters/u002/CoverLetter_Coles.pdf</t>
  </si>
  <si>
    <t>D104</t>
  </si>
  <si>
    <t>D105</t>
  </si>
  <si>
    <t>https://drive.example.com/cover-letters/u003/CoverLetter_Accenture.pdf</t>
  </si>
  <si>
    <t>D106</t>
  </si>
  <si>
    <t>D107</t>
  </si>
  <si>
    <t>https://drive.example.com/cover-letters/u004/CoverLetter_Commonwealth.pdf</t>
  </si>
  <si>
    <t>D108</t>
  </si>
  <si>
    <t>D109</t>
  </si>
  <si>
    <t>D110</t>
  </si>
  <si>
    <t>D111</t>
  </si>
  <si>
    <t>D112</t>
  </si>
  <si>
    <t>D113</t>
  </si>
  <si>
    <t>D114</t>
  </si>
  <si>
    <t>D115</t>
  </si>
  <si>
    <t>https://drive.example.com/cover-letters/u005/CoverLetter_Coles.pdf</t>
  </si>
  <si>
    <t>D116</t>
  </si>
  <si>
    <t>D117</t>
  </si>
  <si>
    <t>https://drive.example.com/cover-letters/u001/CoverLetter_Service.pdf</t>
  </si>
  <si>
    <t>D118</t>
  </si>
  <si>
    <t>D119</t>
  </si>
  <si>
    <t>D120</t>
  </si>
  <si>
    <t>D121</t>
  </si>
  <si>
    <t>https://drive.example.com/cover-letters/u004/CoverLetter_Canva.pdf</t>
  </si>
  <si>
    <t>D122</t>
  </si>
  <si>
    <t>D123</t>
  </si>
  <si>
    <t>CoverLetter_Macquarie</t>
  </si>
  <si>
    <t>https://drive.example.com/cover-letters/u005/CoverLetter_Macquarie.pdf</t>
  </si>
  <si>
    <t>D124</t>
  </si>
  <si>
    <t>D125</t>
  </si>
  <si>
    <t>D126</t>
  </si>
  <si>
    <t>D127</t>
  </si>
  <si>
    <t>D128</t>
  </si>
  <si>
    <t>https://drive.example.com/cover-letters/u003/CoverLetter_Coles.pdf</t>
  </si>
  <si>
    <t>D129</t>
  </si>
  <si>
    <t>D130</t>
  </si>
  <si>
    <t>https://drive.example.com/cover-letters/u004/CoverLetter_Westpac.pdf</t>
  </si>
  <si>
    <t>D131</t>
  </si>
  <si>
    <t>D132</t>
  </si>
  <si>
    <t>https://drive.example.com/cover-letters/u005/CoverLetter_NSW.pdf</t>
  </si>
  <si>
    <t>D133</t>
  </si>
  <si>
    <t>D134</t>
  </si>
  <si>
    <t>https://drive.example.com/cover-letters/u001/CoverLetter_Coles.pdf</t>
  </si>
  <si>
    <t>D135</t>
  </si>
  <si>
    <t>D136</t>
  </si>
  <si>
    <t>D137</t>
  </si>
  <si>
    <t>D138</t>
  </si>
  <si>
    <t>https://drive.example.com/cover-letters/u003/CoverLetter_Telstra.pdf</t>
  </si>
  <si>
    <t>D139</t>
  </si>
  <si>
    <t>D140</t>
  </si>
  <si>
    <t>D141</t>
  </si>
  <si>
    <t>D142</t>
  </si>
  <si>
    <t>CoverLetter_SEEK</t>
  </si>
  <si>
    <t>https://drive.example.com/cover-letters/u001/CoverLetter_SEEK.pdf</t>
  </si>
  <si>
    <t>D143</t>
  </si>
  <si>
    <t>D144</t>
  </si>
  <si>
    <t>CoverLetter_Woolworths</t>
  </si>
  <si>
    <t>https://drive.example.com/cover-letters/u002/CoverLetter_Woolworths.pdf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</si>
  <si>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</si>
  <si>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</si>
  <si>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</si>
  <si>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</si>
  <si>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</si>
  <si>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</si>
  <si>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</si>
  <si>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</si>
  <si>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</si>
  <si>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</si>
  <si>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</si>
  <si>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https://drive.example.com/cover-letters/u003/CoverLetter_Westpac.pdf</t>
  </si>
  <si>
    <t>D156</t>
  </si>
  <si>
    <t>D157</t>
  </si>
  <si>
    <t>D158</t>
  </si>
  <si>
    <t>CoverLetter_Domain</t>
  </si>
  <si>
    <t>https://drive.example.com/cover-letters/u005/CoverLetter_Domain.pdf</t>
  </si>
  <si>
    <t>D159</t>
  </si>
  <si>
    <t>D160</t>
  </si>
  <si>
    <t>D161</t>
  </si>
  <si>
    <t>https://drive.example.com/resumes/u002/Resume_v4.pdf</t>
  </si>
  <si>
    <t>D162</t>
  </si>
  <si>
    <t>https://drive.example.com/cover-letters/u002/CoverLetter_NAB.pdf</t>
  </si>
  <si>
    <t>D163</t>
  </si>
  <si>
    <t>D164</t>
  </si>
  <si>
    <t>D165</t>
  </si>
  <si>
    <t>https://drive.example.com/cover-letters/u004/CoverLetter_Domain.pdf</t>
  </si>
  <si>
    <t>D166</t>
  </si>
  <si>
    <t>InterviewId</t>
  </si>
  <si>
    <t>InterviewDate</t>
  </si>
  <si>
    <t>ContactName</t>
  </si>
  <si>
    <t>ContactEmail</t>
  </si>
  <si>
    <t>ContactPhone</t>
  </si>
  <si>
    <t>I001</t>
  </si>
  <si>
    <t>Lucas Anderson</t>
  </si>
  <si>
    <t>lucas.anderson@telstra.com.au</t>
  </si>
  <si>
    <t>0488461803</t>
  </si>
  <si>
    <t>Round 1 - Phone screen</t>
  </si>
  <si>
    <t>I002</t>
  </si>
  <si>
    <t>Ava Walker</t>
  </si>
  <si>
    <t>ava.walker@anzbank.com.au</t>
  </si>
  <si>
    <t>0490048665</t>
  </si>
  <si>
    <t>Round 1 - Technical interview</t>
  </si>
  <si>
    <t>I003</t>
  </si>
  <si>
    <t>Grace Clark</t>
  </si>
  <si>
    <t>grace.clark@atlassian.com.au</t>
  </si>
  <si>
    <t>0478139880</t>
  </si>
  <si>
    <t>I004</t>
  </si>
  <si>
    <t>0495758349</t>
  </si>
  <si>
    <t>Round 2 - Final round with hiring manager</t>
  </si>
  <si>
    <t>I005</t>
  </si>
  <si>
    <t>Ethan Anderson</t>
  </si>
  <si>
    <t>ethan.anderson@canva.com.au</t>
  </si>
  <si>
    <t>0445575298</t>
  </si>
  <si>
    <t>Round 1 - Final round with hiring manager</t>
  </si>
  <si>
    <t>I006</t>
  </si>
  <si>
    <t>Grace Kumar</t>
  </si>
  <si>
    <t>grace.kumar@optus.com.au</t>
  </si>
  <si>
    <t>0443273328</t>
  </si>
  <si>
    <t>Round 1 - Behavioural interview</t>
  </si>
  <si>
    <t>I007</t>
  </si>
  <si>
    <t>Ella Clark</t>
  </si>
  <si>
    <t>ella.clark@canva.com.au</t>
  </si>
  <si>
    <t>0432321899</t>
  </si>
  <si>
    <t>I008</t>
  </si>
  <si>
    <t>Sarah Nguyen</t>
  </si>
  <si>
    <t>sarah.nguyen@nswgovernment.com.au</t>
  </si>
  <si>
    <t>0477491435</t>
  </si>
  <si>
    <t>I009</t>
  </si>
  <si>
    <t>Mia Wilson</t>
  </si>
  <si>
    <t>mia.wilson@optus.com.au</t>
  </si>
  <si>
    <t>0452436584</t>
  </si>
  <si>
    <t>I010</t>
  </si>
  <si>
    <t>Ryan Anderson</t>
  </si>
  <si>
    <t>ryan.anderson@westpacdigital.com.au</t>
  </si>
  <si>
    <t>0492097999</t>
  </si>
  <si>
    <t>I011</t>
  </si>
  <si>
    <t>0499639081</t>
  </si>
  <si>
    <t>I012</t>
  </si>
  <si>
    <t>Ryan Wilson</t>
  </si>
  <si>
    <t>ryan.wilson@retailplus.com.au</t>
  </si>
  <si>
    <t>0443704923</t>
  </si>
  <si>
    <t>I013</t>
  </si>
  <si>
    <t>Grace Nguyen</t>
  </si>
  <si>
    <t>grace.nguyen@atlassian.com.au</t>
  </si>
  <si>
    <t>0488183110</t>
  </si>
  <si>
    <t>I014</t>
  </si>
  <si>
    <t>Ella White</t>
  </si>
  <si>
    <t>ella.white@accentureaustralia.com.au</t>
  </si>
  <si>
    <t>0493303777</t>
  </si>
  <si>
    <t>I015</t>
  </si>
  <si>
    <t>Chloe Clark</t>
  </si>
  <si>
    <t>chloe.clark@canva.com.au</t>
  </si>
  <si>
    <t>0445810056</t>
  </si>
  <si>
    <t>I016</t>
  </si>
  <si>
    <t>Ryan Clark</t>
  </si>
  <si>
    <t>ryan.clark@retailplus.com.au</t>
  </si>
  <si>
    <t>0439920292</t>
  </si>
  <si>
    <t>I017</t>
  </si>
  <si>
    <t>Grace Smith</t>
  </si>
  <si>
    <t>grace.smith@atlassian.com.au</t>
  </si>
  <si>
    <t>0487388337</t>
  </si>
  <si>
    <t>I018</t>
  </si>
  <si>
    <t>Ava Chen</t>
  </si>
  <si>
    <t>ava.chen@telstra.com.au</t>
  </si>
  <si>
    <t>0440150759</t>
  </si>
  <si>
    <t>I019</t>
  </si>
  <si>
    <t>Chloe Kumar</t>
  </si>
  <si>
    <t>chloe.kumar@canva.com.au</t>
  </si>
  <si>
    <t>0442747037</t>
  </si>
  <si>
    <t>I020</t>
  </si>
  <si>
    <t>Jack White</t>
  </si>
  <si>
    <t>jack.white@canva.com.au</t>
  </si>
  <si>
    <t>0483534128</t>
  </si>
  <si>
    <t>I021</t>
  </si>
  <si>
    <t>0473709724</t>
  </si>
  <si>
    <t>Round 2 - Phone screen</t>
  </si>
  <si>
    <t>I022</t>
  </si>
  <si>
    <t>Liam Wilson</t>
  </si>
  <si>
    <t>liam.wilson@canva.com.au</t>
  </si>
  <si>
    <t>0452910691</t>
  </si>
  <si>
    <t>I023</t>
  </si>
  <si>
    <t>Mia Walker</t>
  </si>
  <si>
    <t>mia.walker@optus.com.au</t>
  </si>
  <si>
    <t>0432151928</t>
  </si>
  <si>
    <t>I024</t>
  </si>
  <si>
    <t>Amelia Nguyen</t>
  </si>
  <si>
    <t>amelia.nguyen@cochlear.com.au</t>
  </si>
  <si>
    <t>0460882459</t>
  </si>
  <si>
    <t>Round 1 - Panel interview</t>
  </si>
  <si>
    <t>I025</t>
  </si>
  <si>
    <t>Noah Chen</t>
  </si>
  <si>
    <t>noah.chen@qantas.com.au</t>
  </si>
  <si>
    <t>0497477029</t>
  </si>
  <si>
    <t>I026</t>
  </si>
  <si>
    <t>Amelia Lee</t>
  </si>
  <si>
    <t>amelia.lee@canva.com.au</t>
  </si>
  <si>
    <t>0431980274</t>
  </si>
  <si>
    <t>I027</t>
  </si>
  <si>
    <t>0487669750</t>
  </si>
  <si>
    <t>Round 2 - Technical interview</t>
  </si>
  <si>
    <t>I028</t>
  </si>
  <si>
    <t>Ethan Taylor</t>
  </si>
  <si>
    <t>ethan.taylor@retailplus.com.au</t>
  </si>
  <si>
    <t>0453258988</t>
  </si>
  <si>
    <t>I029</t>
  </si>
  <si>
    <t>0447437115</t>
  </si>
  <si>
    <t>I030</t>
  </si>
  <si>
    <t>ava.chen@cochlear.com.au</t>
  </si>
  <si>
    <t>0496691619</t>
  </si>
  <si>
    <t>I031</t>
  </si>
  <si>
    <t>lucas.anderson@anzbank.com.au</t>
  </si>
  <si>
    <t>0457219209</t>
  </si>
  <si>
    <t>I032</t>
  </si>
  <si>
    <t>Ethan Wilson</t>
  </si>
  <si>
    <t>ethan.wilson@qantas.com.au</t>
  </si>
  <si>
    <t>0423492385</t>
  </si>
  <si>
    <t>I033</t>
  </si>
  <si>
    <t>Jack Wilson</t>
  </si>
  <si>
    <t>jack.wilson@transportfornsw.com.au</t>
  </si>
  <si>
    <t>0474251933</t>
  </si>
  <si>
    <t>I034</t>
  </si>
  <si>
    <t>Liam Walker</t>
  </si>
  <si>
    <t>liam.walker@xero.com.au</t>
  </si>
  <si>
    <t>0445520201</t>
  </si>
  <si>
    <t>I035</t>
  </si>
  <si>
    <t>Ethan Singh</t>
  </si>
  <si>
    <t>ethan.singh@westpacdigital.com.au</t>
  </si>
  <si>
    <t>0464023778</t>
  </si>
  <si>
    <t>I036</t>
  </si>
  <si>
    <t>Jack Nguyen</t>
  </si>
  <si>
    <t>jack.nguyen@accentureaustralia.com.au</t>
  </si>
  <si>
    <t>0473149551</t>
  </si>
  <si>
    <t>I037</t>
  </si>
  <si>
    <t>0447333543</t>
  </si>
  <si>
    <t>Round 2 - Behavioural interview</t>
  </si>
  <si>
    <t>I038</t>
  </si>
  <si>
    <t>Olivia Walker</t>
  </si>
  <si>
    <t>olivia.walker@optus.com.au</t>
  </si>
  <si>
    <t>0483832717</t>
  </si>
  <si>
    <t>I039</t>
  </si>
  <si>
    <t>0421819185</t>
  </si>
  <si>
    <t>Round 2 - Panel interview</t>
  </si>
  <si>
    <t>I040</t>
  </si>
  <si>
    <t>Ethan Kumar</t>
  </si>
  <si>
    <t>ethan.kumar@retailplus.com.au</t>
  </si>
  <si>
    <t>0471308842</t>
  </si>
  <si>
    <t>I041</t>
  </si>
  <si>
    <t>Grace Taylor</t>
  </si>
  <si>
    <t>grace.taylor@nswgovernment.com.au</t>
  </si>
  <si>
    <t>0453188224</t>
  </si>
  <si>
    <t>I042</t>
  </si>
  <si>
    <t>Ava Taylor</t>
  </si>
  <si>
    <t>ava.taylor@canva.com.au</t>
  </si>
  <si>
    <t>0499078806</t>
  </si>
  <si>
    <t>I043</t>
  </si>
  <si>
    <t>Mia Singh</t>
  </si>
  <si>
    <t>mia.singh@atlassian.com.au</t>
  </si>
  <si>
    <t>0482613940</t>
  </si>
  <si>
    <t>I044</t>
  </si>
  <si>
    <t>mia.wilson@commonwealthbank.com.au</t>
  </si>
  <si>
    <t>0444269370</t>
  </si>
  <si>
    <t>I045</t>
  </si>
  <si>
    <t>Chloe Singh</t>
  </si>
  <si>
    <t>chloe.singh@xero.com.au</t>
  </si>
  <si>
    <t>0471315464</t>
  </si>
  <si>
    <t>I046</t>
  </si>
  <si>
    <t>Liam Lee</t>
  </si>
  <si>
    <t>liam.lee@dataworksaustralia.com.au</t>
  </si>
  <si>
    <t>0439394291</t>
  </si>
  <si>
    <t>I047</t>
  </si>
  <si>
    <t>Ava Wilson</t>
  </si>
  <si>
    <t>ava.wilson@telstra.com.au</t>
  </si>
  <si>
    <t>0425457816</t>
  </si>
  <si>
    <t>I048</t>
  </si>
  <si>
    <t>0428892086</t>
  </si>
  <si>
    <t>I049</t>
  </si>
  <si>
    <t>James Chen</t>
  </si>
  <si>
    <t>james.chen@nab.com.au</t>
  </si>
  <si>
    <t>0462163160</t>
  </si>
  <si>
    <t>I050</t>
  </si>
  <si>
    <t>Olivia Nguyen</t>
  </si>
  <si>
    <t>olivia.nguyen@colesgroup.com.au</t>
  </si>
  <si>
    <t>0439161443</t>
  </si>
  <si>
    <t>I051</t>
  </si>
  <si>
    <t>James Walker</t>
  </si>
  <si>
    <t>james.walker@telstra.com.au</t>
  </si>
  <si>
    <t>0427690330</t>
  </si>
  <si>
    <t>I052</t>
  </si>
  <si>
    <t>ethan.kumar@canva.com.au</t>
  </si>
  <si>
    <t>0478885632</t>
  </si>
  <si>
    <t>I053</t>
  </si>
  <si>
    <t>Ella Chen</t>
  </si>
  <si>
    <t>ella.chen@nswgovernment.com.au</t>
  </si>
  <si>
    <t>0455490631</t>
  </si>
  <si>
    <t>I054</t>
  </si>
  <si>
    <t>Chloe Brown</t>
  </si>
  <si>
    <t>chloe.brown@retailplus.com.au</t>
  </si>
  <si>
    <t>0416904975</t>
  </si>
  <si>
    <t>I055</t>
  </si>
  <si>
    <t>Olivia Lee</t>
  </si>
  <si>
    <t>olivia.lee@telstra.com.au</t>
  </si>
  <si>
    <t>0467594492</t>
  </si>
  <si>
    <t>I056</t>
  </si>
  <si>
    <t>Sarah Patel</t>
  </si>
  <si>
    <t>sarah.patel@cochlear.com.au</t>
  </si>
  <si>
    <t>0486010330</t>
  </si>
  <si>
    <t>I057</t>
  </si>
  <si>
    <t>0429042093</t>
  </si>
  <si>
    <t>I058</t>
  </si>
  <si>
    <t>Mia Smith</t>
  </si>
  <si>
    <t>mia.smith@macquariegroup.com.au</t>
  </si>
  <si>
    <t>0494281857</t>
  </si>
  <si>
    <t>I059</t>
  </si>
  <si>
    <t>James Kumar</t>
  </si>
  <si>
    <t>james.kumar@domaingroup.com.au</t>
  </si>
  <si>
    <t>0494743076</t>
  </si>
  <si>
    <t>I060</t>
  </si>
  <si>
    <t>ryan.wilson@servicensw.com.au</t>
  </si>
  <si>
    <t>0496525668</t>
  </si>
  <si>
    <t>I061</t>
  </si>
  <si>
    <t>Lucas Smith</t>
  </si>
  <si>
    <t>lucas.smith@nab.com.au</t>
  </si>
  <si>
    <t>0415253567</t>
  </si>
  <si>
    <t>I062</t>
  </si>
  <si>
    <t>0468978194</t>
  </si>
  <si>
    <t>I063</t>
  </si>
  <si>
    <t>mia.singh@macquariegroup.com.au</t>
  </si>
  <si>
    <t>0496707983</t>
  </si>
  <si>
    <t>FollowUpId</t>
  </si>
  <si>
    <t>FollowUpDate</t>
  </si>
  <si>
    <t>IsCompleted</t>
  </si>
  <si>
    <t>Reference date for overdue calculation: 13 Sep 2026 (FR-INT-04 / FR-DASH-03)</t>
  </si>
  <si>
    <t>F001</t>
  </si>
  <si>
    <t>Thank-you note after interview.</t>
  </si>
  <si>
    <t>Red fill = overdue (date in the past, not completed). Green fill = completed.</t>
  </si>
  <si>
    <t>F002</t>
  </si>
  <si>
    <t>Confirm interview panel availability.</t>
  </si>
  <si>
    <t>F003</t>
  </si>
  <si>
    <t>Follow-up sent before outcome was known.</t>
  </si>
  <si>
    <t>F004</t>
  </si>
  <si>
    <t>Send a polite follow-up email if no response.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</si>
  <si>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</si>
  <si>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</si>
  <si>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</si>
  <si>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</si>
  <si>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</si>
  <si>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</si>
  <si>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</si>
  <si>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</si>
  <si>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</si>
  <si>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</si>
  <si>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Ask about expected decision timeline.</t>
  </si>
  <si>
    <t>F015</t>
  </si>
  <si>
    <t>Check in with recruiter on next steps.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</si>
  <si>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</si>
  <si>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</si>
  <si>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</si>
  <si>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</si>
  <si>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</si>
  <si>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</si>
  <si>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</si>
  <si>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</si>
  <si>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</si>
  <si>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</si>
  <si>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</si>
  <si>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</si>
  <si>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</si>
  <si>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</si>
  <si>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</si>
  <si>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</si>
  <si>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</si>
  <si>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</si>
  <si>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</si>
  <si>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</si>
  <si>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</si>
  <si>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</si>
  <si>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</si>
  <si>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</si>
  <si>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</si>
  <si>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</si>
  <si>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</si>
  <si>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Field</t>
  </si>
  <si>
    <t>Description</t>
  </si>
  <si>
    <t>Example</t>
  </si>
  <si>
    <t>User</t>
  </si>
  <si>
    <t>Unique identifier for a registered user.</t>
  </si>
  <si>
    <t>User's login email; must be unique (FR-AUTH-01).</t>
  </si>
  <si>
    <t>Securely hashed password, never stored in plain text (NFR-02). Placeholder values only.</t>
  </si>
  <si>
    <t>$2b$12$...</t>
  </si>
  <si>
    <t>Date the account was registered.</t>
  </si>
  <si>
    <t>01 Jun 2026</t>
  </si>
  <si>
    <t>Name (supplementary)</t>
  </si>
  <si>
    <t>Human-readable label, not part of the BRD/SRS User entity.</t>
  </si>
  <si>
    <t>Application</t>
  </si>
  <si>
    <t>Unique identifier for a job application record.</t>
  </si>
  <si>
    <t>Owning user; enforces per-user data isolation (FR-AUTH-03).</t>
  </si>
  <si>
    <t>Employer name (FR-APP-01, mandatory).</t>
  </si>
  <si>
    <t>Job title applied for (FR-APP-01, mandatory).</t>
  </si>
  <si>
    <t>Channel the application was submitted through (FR-APP-01, mandatory).</t>
  </si>
  <si>
    <t>Date the application was submitted (FR-APP-01, mandatory).</t>
  </si>
  <si>
    <t>31 Aug 2026</t>
  </si>
  <si>
    <t>One of the six defined statuses (FR-STA-01): Applied, Interview, Offer, Rejected, Withdrawn, Archived.</t>
  </si>
  <si>
    <t>Optional portfolio URL (FR-DOC-03, should); left blank when not supplied.</t>
  </si>
  <si>
    <t>https://portfolio.dev/u001-a001</t>
  </si>
  <si>
    <t>Optional GitHub URL (FR-DOC-03, should); left blank when not supplied.</t>
  </si>
  <si>
    <t>https://github.com/u00112</t>
  </si>
  <si>
    <t>Unique identifier for a status-change event.</t>
  </si>
  <si>
    <t>Application the change belongs to.</t>
  </si>
  <si>
    <t>Status before the change (FR-STA-03).</t>
  </si>
  <si>
    <t>Status after the change (FR-STA-03); transitions follow the allowed-transition rules (BRD 8.2/SRS 6.3).</t>
  </si>
  <si>
    <t>Timestamp of the status change.</t>
  </si>
  <si>
    <t>15 Aug 2026</t>
  </si>
  <si>
    <t>Unique identifier for a document record.</t>
  </si>
  <si>
    <t>Application the document is attached to.</t>
  </si>
  <si>
    <t>Resume (FR-DOC-01, must) or CoverLetter (FR-DOC-02, should).</t>
  </si>
  <si>
    <t>Label identifying which version was used.</t>
  </si>
  <si>
    <t>Link or note pointing to the actual file.</t>
  </si>
  <si>
    <t>Unique identifier for one interview round.</t>
  </si>
  <si>
    <t>Application the interview belongs to.</t>
  </si>
  <si>
    <t>Scheduled/held date of this interview round (FR-INT-01).</t>
  </si>
  <si>
    <t>Employer contact for this round (FR-INT-02, should).</t>
  </si>
  <si>
    <t>Employer contact email (FR-INT-02, should).</t>
  </si>
  <si>
    <t>sarah.nguyen@optus.com.au</t>
  </si>
  <si>
    <t>Employer contact phone (FR-INT-02, should).</t>
  </si>
  <si>
    <t>0412345678</t>
  </si>
  <si>
    <t>Free-text notes about the round.</t>
  </si>
  <si>
    <t>Unique identifier for a follow-up reminder.</t>
  </si>
  <si>
    <t>Application the follow-up relates to.</t>
  </si>
  <si>
    <t>Date the follow-up is/was due (FR-INT-03).</t>
  </si>
  <si>
    <t>12 Aug 2026</t>
  </si>
  <si>
    <t>Free-text notes for the follow-up (FR-INT-03).</t>
  </si>
  <si>
    <t>Whether the follow-up action has been done; overdue = date passed AND not completed (FR-INT-04, FR-DASH-03).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</si>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</sst>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i/>
      <sz val="9"/>
      <color rgb="FF777777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E4F7E4"/>
      </patternFill>
    </fill>
    <fill>
      <patternFill patternType="solid">
        <fgColor rgb="FFE4F7E4"/>
        <bgColor rgb="FFCC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3" fillId="2" borderId="0" xfId="0" applyFont="1" applyFill="1"/>
    <xf numFmtId="0" fontId="6" fillId="0" borderId="0" xfId="0" applyFont="1"/>
    <xf numFmtId="164" fontId="7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CE4E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7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"/>
  <sheetViews>
    <sheetView showGridLines="0" topLeftCell="A18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20" customWidth="1"/>
    <col min="4" max="4" width="46" customWidth="1"/>
  </cols>
  <sheetData>
    <row r="2" spans="2:4" ht="17.649999999999999" x14ac:dyDescent="0.5">
      <c r="B2" s="1" t="s">
        <v>0</v>
      </c>
    </row>
    <row r="3" spans="2:4" x14ac:dyDescent="0.45">
      <c r="B3" s="2" t="s">
        <v>1</v>
      </c>
    </row>
    <row r="4" spans="2:4" x14ac:dyDescent="0.45">
      <c r="B4" s="2" t="s">
        <v>2</v>
      </c>
    </row>
    <row r="6" spans="2:4" x14ac:dyDescent="0.45">
      <c r="B6" s="3" t="s">
        <v>3</v>
      </c>
      <c r="C6" s="3" t="s">
        <v>4</v>
      </c>
      <c r="D6" s="3" t="s">
        <v>5</v>
      </c>
    </row>
    <row r="7" spans="2:4" x14ac:dyDescent="0.45">
      <c r="B7" s="4" t="s">
        <v>6</v>
      </c>
      <c r="C7" s="5">
        <f>COUNTA(Users!A2:A6)</f>
        <v>5</v>
      </c>
      <c r="D7" s="4" t="s">
        <v>7</v>
      </c>
    </row>
    <row r="8" spans="2:4" x14ac:dyDescent="0.45">
      <c r="B8" s="4" t="s">
        <v>8</v>
      </c>
      <c r="C8" s="5">
        <f>COUNTA(Applications!A2:A101)</f>
        <v>100</v>
      </c>
      <c r="D8" s="4" t="s">
        <v>9</v>
      </c>
    </row>
    <row r="9" spans="2:4" x14ac:dyDescent="0.45">
      <c r="B9" s="4" t="s">
        <v>10</v>
      </c>
      <c r="C9" s="5">
        <f>COUNTA(StatusHistory!A2:A130)</f>
        <v>129</v>
      </c>
      <c r="D9" s="4" t="s">
        <v>11</v>
      </c>
    </row>
    <row r="10" spans="2:4" x14ac:dyDescent="0.45">
      <c r="B10" s="4" t="s">
        <v>12</v>
      </c>
      <c r="C10" s="5">
        <f>COUNTA(Document!A2:A167)</f>
        <v>166</v>
      </c>
      <c r="D10" s="4" t="s">
        <v>13</v>
      </c>
    </row>
    <row r="11" spans="2:4" x14ac:dyDescent="0.45">
      <c r="B11" s="4" t="s">
        <v>14</v>
      </c>
      <c r="C11" s="5">
        <f>COUNTA(Interview!A2:A64)</f>
        <v>63</v>
      </c>
      <c r="D11" s="4" t="s">
        <v>15</v>
      </c>
    </row>
    <row r="12" spans="2:4" x14ac:dyDescent="0.45">
      <c r="B12" s="4" t="s">
        <v>16</v>
      </c>
      <c r="C12" s="5">
        <f>COUNTA(FollowUp!A2:A43)</f>
        <v>42</v>
      </c>
      <c r="D12" s="4" t="s">
        <v>17</v>
      </c>
    </row>
    <row r="14" spans="2:4" x14ac:dyDescent="0.45">
      <c r="B14" s="6" t="s">
        <v>18</v>
      </c>
    </row>
    <row r="15" spans="2:4" x14ac:dyDescent="0.45">
      <c r="B15" s="7" t="s">
        <v>19</v>
      </c>
      <c r="C15" s="7" t="s">
        <v>20</v>
      </c>
    </row>
    <row r="16" spans="2:4" x14ac:dyDescent="0.45">
      <c r="B16" s="4" t="s">
        <v>21</v>
      </c>
      <c r="C16" s="5">
        <f>COUNTIF(Applications!$G$2:$G$101,B16)</f>
        <v>22</v>
      </c>
    </row>
    <row r="17" spans="2:3" x14ac:dyDescent="0.45">
      <c r="B17" s="4" t="s">
        <v>14</v>
      </c>
      <c r="C17" s="5">
        <f>COUNTIF(Applications!$G$2:$G$101,B17)</f>
        <v>18</v>
      </c>
    </row>
    <row r="18" spans="2:3" x14ac:dyDescent="0.45">
      <c r="B18" s="4" t="s">
        <v>22</v>
      </c>
      <c r="C18" s="5">
        <f>COUNTIF(Applications!$G$2:$G$101,B18)</f>
        <v>8</v>
      </c>
    </row>
    <row r="19" spans="2:3" x14ac:dyDescent="0.45">
      <c r="B19" s="4" t="s">
        <v>23</v>
      </c>
      <c r="C19" s="5">
        <f>COUNTIF(Applications!$G$2:$G$101,B19)</f>
        <v>24</v>
      </c>
    </row>
    <row r="20" spans="2:3" x14ac:dyDescent="0.45">
      <c r="B20" s="4" t="s">
        <v>24</v>
      </c>
      <c r="C20" s="5">
        <f>COUNTIF(Applications!$G$2:$G$101,B20)</f>
        <v>12</v>
      </c>
    </row>
    <row r="21" spans="2:3" x14ac:dyDescent="0.45">
      <c r="B21" s="4" t="s">
        <v>25</v>
      </c>
      <c r="C21" s="5">
        <f>COUNTIF(Applications!$G$2:$G$101,B21)</f>
        <v>16</v>
      </c>
    </row>
    <row r="23" spans="2:3" x14ac:dyDescent="0.45">
      <c r="B23" s="6" t="s">
        <v>26</v>
      </c>
    </row>
    <row r="24" spans="2:3" x14ac:dyDescent="0.45">
      <c r="B24" s="7" t="s">
        <v>27</v>
      </c>
      <c r="C24" s="7" t="s">
        <v>20</v>
      </c>
    </row>
    <row r="25" spans="2:3" x14ac:dyDescent="0.45">
      <c r="B25" s="4" t="s">
        <v>28</v>
      </c>
      <c r="C25" s="5">
        <f>COUNTIF(Applications!$E$2:$E$101,B25)</f>
        <v>18</v>
      </c>
    </row>
    <row r="26" spans="2:3" x14ac:dyDescent="0.45">
      <c r="B26" s="4" t="s">
        <v>29</v>
      </c>
      <c r="C26" s="5">
        <f>COUNTIF(Applications!$E$2:$E$101,B26)</f>
        <v>16</v>
      </c>
    </row>
    <row r="27" spans="2:3" x14ac:dyDescent="0.45">
      <c r="B27" s="4" t="s">
        <v>30</v>
      </c>
      <c r="C27" s="5">
        <f>COUNTIF(Applications!$E$2:$E$101,B27)</f>
        <v>17</v>
      </c>
    </row>
    <row r="28" spans="2:3" x14ac:dyDescent="0.45">
      <c r="B28" s="4" t="s">
        <v>31</v>
      </c>
      <c r="C28" s="5">
        <f>COUNTIF(Applications!$E$2:$E$101,B28)</f>
        <v>23</v>
      </c>
    </row>
    <row r="29" spans="2:3" x14ac:dyDescent="0.45">
      <c r="B29" s="4" t="s">
        <v>32</v>
      </c>
      <c r="C29" s="5">
        <f>COUNTIF(Applications!$E$2:$E$101,B29)</f>
        <v>26</v>
      </c>
    </row>
    <row r="31" spans="2:3" x14ac:dyDescent="0.45">
      <c r="B31" s="6" t="s">
        <v>33</v>
      </c>
    </row>
    <row r="32" spans="2:3" x14ac:dyDescent="0.45">
      <c r="B32" s="7" t="s">
        <v>34</v>
      </c>
      <c r="C32" s="7" t="s">
        <v>35</v>
      </c>
    </row>
    <row r="33" spans="2:3" x14ac:dyDescent="0.45">
      <c r="B33" s="4" t="s">
        <v>36</v>
      </c>
      <c r="C33" s="5">
        <f>COUNTIFS(Applications!$G$2:$G$101,"&lt;&gt;Archived")</f>
        <v>84</v>
      </c>
    </row>
    <row r="34" spans="2:3" x14ac:dyDescent="0.45">
      <c r="B34" s="4" t="s">
        <v>37</v>
      </c>
      <c r="C34" s="5">
        <f>COUNTIFS(Interview!$C$2:$C$64,"&gt;="&amp;$C36,Interview!$C$2:$C$64,"&lt;="&amp;($C36+7))</f>
        <v>10</v>
      </c>
    </row>
    <row r="35" spans="2:3" x14ac:dyDescent="0.45">
      <c r="B35" s="4" t="s">
        <v>38</v>
      </c>
      <c r="C35" s="5">
        <f>COUNTIFS(FollowUp!$C$2:$C$43,"&lt;"&amp;$C36,FollowUp!$E$2:$E$43,FALSE())</f>
        <v>13</v>
      </c>
    </row>
    <row r="36" spans="2:3" x14ac:dyDescent="0.45">
      <c r="B36" s="8" t="s">
        <v>39</v>
      </c>
      <c r="C36" s="9">
        <v>46278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30" customWidth="1"/>
    <col min="3" max="3" width="62" customWidth="1"/>
    <col min="4" max="4" width="14" customWidth="1"/>
    <col min="5" max="5" width="20" customWidth="1"/>
  </cols>
  <sheetData>
    <row r="1" spans="1:7" ht="30" customHeight="1" x14ac:dyDescent="0.45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G1" s="8" t="s">
        <v>45</v>
      </c>
    </row>
    <row r="2" spans="1:7" x14ac:dyDescent="0.45">
      <c r="A2" s="11" t="s">
        <v>46</v>
      </c>
      <c r="B2" s="11" t="s">
        <v>47</v>
      </c>
      <c r="C2" s="11" t="s">
        <v>48</v>
      </c>
      <c r="D2" s="12">
        <v>46174</v>
      </c>
      <c r="E2" s="11" t="s">
        <v>49</v>
      </c>
    </row>
    <row r="3" spans="1:7" x14ac:dyDescent="0.45">
      <c r="A3" s="11" t="s">
        <v>50</v>
      </c>
      <c r="B3" s="11" t="s">
        <v>51</v>
      </c>
      <c r="C3" s="11" t="s">
        <v>52</v>
      </c>
      <c r="D3" s="12">
        <v>46176</v>
      </c>
      <c r="E3" s="11" t="s">
        <v>53</v>
      </c>
    </row>
    <row r="4" spans="1:7" x14ac:dyDescent="0.45">
      <c r="A4" s="11" t="s">
        <v>54</v>
      </c>
      <c r="B4" s="11" t="s">
        <v>55</v>
      </c>
      <c r="C4" s="11" t="s">
        <v>56</v>
      </c>
      <c r="D4" s="12">
        <v>46178</v>
      </c>
      <c r="E4" s="11" t="s">
        <v>57</v>
      </c>
    </row>
    <row r="5" spans="1:7" x14ac:dyDescent="0.45">
      <c r="A5" s="11" t="s">
        <v>58</v>
      </c>
      <c r="B5" s="11" t="s">
        <v>59</v>
      </c>
      <c r="C5" s="11" t="s">
        <v>60</v>
      </c>
      <c r="D5" s="12">
        <v>46183</v>
      </c>
      <c r="E5" s="11" t="s">
        <v>61</v>
      </c>
    </row>
    <row r="6" spans="1:7" x14ac:dyDescent="0.45">
      <c r="A6" s="11" t="s">
        <v>62</v>
      </c>
      <c r="B6" s="11" t="s">
        <v>63</v>
      </c>
      <c r="C6" s="11" t="s">
        <v>64</v>
      </c>
      <c r="D6" s="12">
        <v>46188</v>
      </c>
      <c r="E6" s="11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abSelected="1" zoomScaleNormal="100" workbookViewId="0">
      <pane ySplit="1" topLeftCell="A2" activePane="bottomLeft" state="frozen"/>
      <selection pane="bottomLeft" activeCell="D12" sqref="D12"/>
    </sheetView>
  </sheetViews>
  <sheetFormatPr defaultColWidth="8.6640625" defaultRowHeight="14.25" x14ac:dyDescent="0.45"/>
  <cols>
    <col min="1" max="1" width="14" customWidth="1"/>
    <col min="2" max="2" width="10" customWidth="1"/>
    <col min="3" max="3" width="22" customWidth="1"/>
    <col min="4" max="4" width="26" customWidth="1"/>
    <col min="5" max="6" width="16" customWidth="1"/>
    <col min="7" max="7" width="14" customWidth="1"/>
    <col min="8" max="8" width="32" customWidth="1"/>
    <col min="9" max="9" width="30" customWidth="1"/>
  </cols>
  <sheetData>
    <row r="1" spans="1:9" ht="30" customHeight="1" x14ac:dyDescent="0.45">
      <c r="A1" s="10" t="s">
        <v>66</v>
      </c>
      <c r="B1" s="10" t="s">
        <v>40</v>
      </c>
      <c r="C1" s="10" t="s">
        <v>67</v>
      </c>
      <c r="D1" s="10" t="s">
        <v>68</v>
      </c>
      <c r="E1" s="10" t="s">
        <v>27</v>
      </c>
      <c r="F1" s="10" t="s">
        <v>69</v>
      </c>
      <c r="G1" s="10" t="s">
        <v>70</v>
      </c>
      <c r="H1" s="10" t="s">
        <v>71</v>
      </c>
      <c r="I1" s="10" t="s">
        <v>72</v>
      </c>
    </row>
    <row r="2" spans="1:9" x14ac:dyDescent="0.45">
      <c r="A2" s="11" t="s">
        <v>73</v>
      </c>
      <c r="B2" s="11" t="s">
        <v>46</v>
      </c>
      <c r="C2" s="11" t="s">
        <v>74</v>
      </c>
      <c r="D2" s="11" t="s">
        <v>75</v>
      </c>
      <c r="E2" s="11" t="s">
        <v>32</v>
      </c>
      <c r="F2" s="12">
        <v>46265</v>
      </c>
      <c r="G2" s="11" t="s">
        <v>22</v>
      </c>
      <c r="H2" s="11"/>
      <c r="I2" s="11"/>
    </row>
    <row r="3" spans="1:9" x14ac:dyDescent="0.45">
      <c r="A3" s="11" t="s">
        <v>76</v>
      </c>
      <c r="B3" s="11" t="s">
        <v>50</v>
      </c>
      <c r="C3" s="11" t="s">
        <v>77</v>
      </c>
      <c r="D3" s="11" t="s">
        <v>78</v>
      </c>
      <c r="E3" s="11" t="s">
        <v>30</v>
      </c>
      <c r="F3" s="12">
        <v>46202</v>
      </c>
      <c r="G3" s="11" t="s">
        <v>22</v>
      </c>
      <c r="H3" s="11" t="s">
        <v>79</v>
      </c>
      <c r="I3" s="11"/>
    </row>
    <row r="4" spans="1:9" x14ac:dyDescent="0.45">
      <c r="A4" s="11" t="s">
        <v>80</v>
      </c>
      <c r="B4" s="11" t="s">
        <v>54</v>
      </c>
      <c r="C4" s="11" t="s">
        <v>81</v>
      </c>
      <c r="D4" s="11" t="s">
        <v>82</v>
      </c>
      <c r="E4" s="11" t="s">
        <v>32</v>
      </c>
      <c r="F4" s="12">
        <v>46175</v>
      </c>
      <c r="G4" s="11" t="s">
        <v>25</v>
      </c>
      <c r="H4" s="11" t="s">
        <v>83</v>
      </c>
      <c r="I4" s="11" t="s">
        <v>84</v>
      </c>
    </row>
    <row r="5" spans="1:9" x14ac:dyDescent="0.45">
      <c r="A5" s="11" t="s">
        <v>85</v>
      </c>
      <c r="B5" s="11" t="s">
        <v>58</v>
      </c>
      <c r="C5" s="11" t="s">
        <v>86</v>
      </c>
      <c r="D5" s="11" t="s">
        <v>87</v>
      </c>
      <c r="E5" s="11" t="s">
        <v>30</v>
      </c>
      <c r="F5" s="12">
        <v>46271</v>
      </c>
      <c r="G5" s="11" t="s">
        <v>21</v>
      </c>
      <c r="H5" s="11" t="s">
        <v>88</v>
      </c>
      <c r="I5" s="11"/>
    </row>
    <row r="6" spans="1:9" x14ac:dyDescent="0.45">
      <c r="A6" s="11" t="s">
        <v>89</v>
      </c>
      <c r="B6" s="11" t="s">
        <v>62</v>
      </c>
      <c r="C6" s="11" t="s">
        <v>90</v>
      </c>
      <c r="D6" s="11" t="s">
        <v>91</v>
      </c>
      <c r="E6" s="11" t="s">
        <v>28</v>
      </c>
      <c r="F6" s="12">
        <v>46204</v>
      </c>
      <c r="G6" s="11" t="s">
        <v>23</v>
      </c>
      <c r="H6" s="11"/>
      <c r="I6" s="11"/>
    </row>
    <row r="7" spans="1:9" x14ac:dyDescent="0.45">
      <c r="A7" s="11" t="s">
        <v>92</v>
      </c>
      <c r="B7" s="11" t="s">
        <v>46</v>
      </c>
      <c r="C7" s="11" t="s">
        <v>93</v>
      </c>
      <c r="D7" s="11" t="s">
        <v>94</v>
      </c>
      <c r="E7" s="11" t="s">
        <v>29</v>
      </c>
      <c r="F7" s="12">
        <v>46243</v>
      </c>
      <c r="G7" s="11" t="s">
        <v>23</v>
      </c>
      <c r="H7" s="11" t="s">
        <v>95</v>
      </c>
      <c r="I7" s="11"/>
    </row>
    <row r="8" spans="1:9" x14ac:dyDescent="0.45">
      <c r="A8" s="11" t="s">
        <v>96</v>
      </c>
      <c r="B8" s="11" t="s">
        <v>50</v>
      </c>
      <c r="C8" s="11" t="s">
        <v>97</v>
      </c>
      <c r="D8" s="11" t="s">
        <v>98</v>
      </c>
      <c r="E8" s="11" t="s">
        <v>32</v>
      </c>
      <c r="F8" s="12">
        <v>46203</v>
      </c>
      <c r="G8" s="11" t="s">
        <v>21</v>
      </c>
      <c r="H8" s="11"/>
      <c r="I8" s="11" t="s">
        <v>99</v>
      </c>
    </row>
    <row r="9" spans="1:9" x14ac:dyDescent="0.45">
      <c r="A9" s="11" t="s">
        <v>100</v>
      </c>
      <c r="B9" s="11" t="s">
        <v>54</v>
      </c>
      <c r="C9" s="11" t="s">
        <v>101</v>
      </c>
      <c r="D9" s="11" t="s">
        <v>102</v>
      </c>
      <c r="E9" s="11" t="s">
        <v>28</v>
      </c>
      <c r="F9" s="12">
        <v>46239</v>
      </c>
      <c r="G9" s="11" t="s">
        <v>23</v>
      </c>
      <c r="H9" s="11" t="s">
        <v>103</v>
      </c>
      <c r="I9" s="11" t="s">
        <v>104</v>
      </c>
    </row>
    <row r="10" spans="1:9" x14ac:dyDescent="0.45">
      <c r="A10" s="11" t="s">
        <v>105</v>
      </c>
      <c r="B10" s="11" t="s">
        <v>58</v>
      </c>
      <c r="C10" s="11" t="s">
        <v>93</v>
      </c>
      <c r="D10" s="11" t="s">
        <v>94</v>
      </c>
      <c r="E10" s="11" t="s">
        <v>29</v>
      </c>
      <c r="F10" s="12">
        <v>46186</v>
      </c>
      <c r="G10" s="11" t="s">
        <v>21</v>
      </c>
      <c r="H10" s="11" t="s">
        <v>106</v>
      </c>
      <c r="I10" s="11" t="s">
        <v>107</v>
      </c>
    </row>
    <row r="11" spans="1:9" x14ac:dyDescent="0.45">
      <c r="A11" s="11" t="s">
        <v>108</v>
      </c>
      <c r="B11" s="11" t="s">
        <v>62</v>
      </c>
      <c r="C11" s="11" t="s">
        <v>109</v>
      </c>
      <c r="D11" s="11" t="s">
        <v>110</v>
      </c>
      <c r="E11" s="11" t="s">
        <v>31</v>
      </c>
      <c r="F11" s="12">
        <v>46267</v>
      </c>
      <c r="G11" s="11" t="s">
        <v>24</v>
      </c>
      <c r="H11" s="11" t="s">
        <v>111</v>
      </c>
      <c r="I11" s="11" t="s">
        <v>112</v>
      </c>
    </row>
    <row r="12" spans="1:9" x14ac:dyDescent="0.45">
      <c r="A12" s="11" t="s">
        <v>113</v>
      </c>
      <c r="B12" s="11" t="s">
        <v>46</v>
      </c>
      <c r="C12" s="11" t="s">
        <v>90</v>
      </c>
      <c r="D12" s="11" t="s">
        <v>91</v>
      </c>
      <c r="E12" s="11" t="s">
        <v>28</v>
      </c>
      <c r="F12" s="12">
        <v>46230</v>
      </c>
      <c r="G12" s="11" t="s">
        <v>24</v>
      </c>
      <c r="H12" s="11" t="s">
        <v>114</v>
      </c>
      <c r="I12" s="11"/>
    </row>
    <row r="13" spans="1:9" x14ac:dyDescent="0.45">
      <c r="A13" s="11" t="s">
        <v>115</v>
      </c>
      <c r="B13" s="11" t="s">
        <v>50</v>
      </c>
      <c r="C13" s="11" t="s">
        <v>74</v>
      </c>
      <c r="D13" s="11" t="s">
        <v>75</v>
      </c>
      <c r="E13" s="11" t="s">
        <v>31</v>
      </c>
      <c r="F13" s="12">
        <v>46181</v>
      </c>
      <c r="G13" s="11" t="s">
        <v>21</v>
      </c>
      <c r="H13" s="11" t="s">
        <v>116</v>
      </c>
      <c r="I13" s="11" t="s">
        <v>117</v>
      </c>
    </row>
    <row r="14" spans="1:9" x14ac:dyDescent="0.45">
      <c r="A14" s="11" t="s">
        <v>118</v>
      </c>
      <c r="B14" s="11" t="s">
        <v>54</v>
      </c>
      <c r="C14" s="11" t="s">
        <v>119</v>
      </c>
      <c r="D14" s="11" t="s">
        <v>120</v>
      </c>
      <c r="E14" s="11" t="s">
        <v>31</v>
      </c>
      <c r="F14" s="12">
        <v>46263</v>
      </c>
      <c r="G14" s="11" t="s">
        <v>23</v>
      </c>
      <c r="H14" s="11" t="s">
        <v>121</v>
      </c>
      <c r="I14" s="11" t="s">
        <v>122</v>
      </c>
    </row>
    <row r="15" spans="1:9" x14ac:dyDescent="0.45">
      <c r="A15" s="11" t="s">
        <v>123</v>
      </c>
      <c r="B15" s="11" t="s">
        <v>58</v>
      </c>
      <c r="C15" s="11" t="s">
        <v>124</v>
      </c>
      <c r="D15" s="11" t="s">
        <v>125</v>
      </c>
      <c r="E15" s="11" t="s">
        <v>28</v>
      </c>
      <c r="F15" s="12">
        <v>46197</v>
      </c>
      <c r="G15" s="11" t="s">
        <v>23</v>
      </c>
      <c r="H15" s="11"/>
      <c r="I15" s="11" t="s">
        <v>126</v>
      </c>
    </row>
    <row r="16" spans="1:9" x14ac:dyDescent="0.45">
      <c r="A16" s="11" t="s">
        <v>127</v>
      </c>
      <c r="B16" s="11" t="s">
        <v>62</v>
      </c>
      <c r="C16" s="11" t="s">
        <v>93</v>
      </c>
      <c r="D16" s="11" t="s">
        <v>94</v>
      </c>
      <c r="E16" s="11" t="s">
        <v>32</v>
      </c>
      <c r="F16" s="12">
        <v>46246</v>
      </c>
      <c r="G16" s="11" t="s">
        <v>24</v>
      </c>
      <c r="H16" s="11"/>
      <c r="I16" s="11" t="s">
        <v>128</v>
      </c>
    </row>
    <row r="17" spans="1:9" x14ac:dyDescent="0.45">
      <c r="A17" s="11" t="s">
        <v>129</v>
      </c>
      <c r="B17" s="11" t="s">
        <v>46</v>
      </c>
      <c r="C17" s="11" t="s">
        <v>130</v>
      </c>
      <c r="D17" s="11" t="s">
        <v>131</v>
      </c>
      <c r="E17" s="11" t="s">
        <v>32</v>
      </c>
      <c r="F17" s="12">
        <v>46201</v>
      </c>
      <c r="G17" s="11" t="s">
        <v>22</v>
      </c>
      <c r="H17" s="11"/>
      <c r="I17" s="11"/>
    </row>
    <row r="18" spans="1:9" x14ac:dyDescent="0.45">
      <c r="A18" s="11" t="s">
        <v>132</v>
      </c>
      <c r="B18" s="11" t="s">
        <v>50</v>
      </c>
      <c r="C18" s="11" t="s">
        <v>133</v>
      </c>
      <c r="D18" s="11" t="s">
        <v>125</v>
      </c>
      <c r="E18" s="11" t="s">
        <v>28</v>
      </c>
      <c r="F18" s="12">
        <v>46269</v>
      </c>
      <c r="G18" s="11" t="s">
        <v>23</v>
      </c>
      <c r="H18" s="11"/>
      <c r="I18" s="11"/>
    </row>
    <row r="19" spans="1:9" x14ac:dyDescent="0.45">
      <c r="A19" s="11" t="s">
        <v>134</v>
      </c>
      <c r="B19" s="11" t="s">
        <v>54</v>
      </c>
      <c r="C19" s="11" t="s">
        <v>81</v>
      </c>
      <c r="D19" s="11" t="s">
        <v>82</v>
      </c>
      <c r="E19" s="11" t="s">
        <v>28</v>
      </c>
      <c r="F19" s="12">
        <v>46174</v>
      </c>
      <c r="G19" s="11" t="s">
        <v>25</v>
      </c>
      <c r="H19" s="11"/>
      <c r="I19" s="11" t="s">
        <v>135</v>
      </c>
    </row>
    <row r="20" spans="1:9" x14ac:dyDescent="0.45">
      <c r="A20" s="11" t="s">
        <v>136</v>
      </c>
      <c r="B20" s="11" t="s">
        <v>58</v>
      </c>
      <c r="C20" s="11" t="s">
        <v>109</v>
      </c>
      <c r="D20" s="11" t="s">
        <v>110</v>
      </c>
      <c r="E20" s="11" t="s">
        <v>30</v>
      </c>
      <c r="F20" s="12">
        <v>46220</v>
      </c>
      <c r="G20" s="11" t="s">
        <v>24</v>
      </c>
      <c r="H20" s="11" t="s">
        <v>137</v>
      </c>
      <c r="I20" s="11" t="s">
        <v>138</v>
      </c>
    </row>
    <row r="21" spans="1:9" x14ac:dyDescent="0.45">
      <c r="A21" s="11" t="s">
        <v>139</v>
      </c>
      <c r="B21" s="11" t="s">
        <v>62</v>
      </c>
      <c r="C21" s="11" t="s">
        <v>90</v>
      </c>
      <c r="D21" s="11" t="s">
        <v>91</v>
      </c>
      <c r="E21" s="11" t="s">
        <v>29</v>
      </c>
      <c r="F21" s="12">
        <v>46196</v>
      </c>
      <c r="G21" s="11" t="s">
        <v>14</v>
      </c>
      <c r="H21" s="11" t="s">
        <v>140</v>
      </c>
      <c r="I21" s="11"/>
    </row>
    <row r="22" spans="1:9" x14ac:dyDescent="0.45">
      <c r="A22" s="11" t="s">
        <v>141</v>
      </c>
      <c r="B22" s="11" t="s">
        <v>46</v>
      </c>
      <c r="C22" s="11" t="s">
        <v>133</v>
      </c>
      <c r="D22" s="11" t="s">
        <v>125</v>
      </c>
      <c r="E22" s="11" t="s">
        <v>31</v>
      </c>
      <c r="F22" s="12">
        <v>46178</v>
      </c>
      <c r="G22" s="11" t="s">
        <v>14</v>
      </c>
      <c r="H22" s="11" t="s">
        <v>142</v>
      </c>
      <c r="I22" s="11"/>
    </row>
    <row r="23" spans="1:9" x14ac:dyDescent="0.45">
      <c r="A23" s="11" t="s">
        <v>143</v>
      </c>
      <c r="B23" s="11" t="s">
        <v>50</v>
      </c>
      <c r="C23" s="11" t="s">
        <v>144</v>
      </c>
      <c r="D23" s="11" t="s">
        <v>145</v>
      </c>
      <c r="E23" s="11" t="s">
        <v>30</v>
      </c>
      <c r="F23" s="12">
        <v>46218</v>
      </c>
      <c r="G23" s="11" t="s">
        <v>21</v>
      </c>
      <c r="H23" s="11"/>
      <c r="I23" s="11" t="s">
        <v>146</v>
      </c>
    </row>
    <row r="24" spans="1:9" x14ac:dyDescent="0.45">
      <c r="A24" s="11" t="s">
        <v>147</v>
      </c>
      <c r="B24" s="11" t="s">
        <v>54</v>
      </c>
      <c r="C24" s="11" t="s">
        <v>81</v>
      </c>
      <c r="D24" s="11" t="s">
        <v>82</v>
      </c>
      <c r="E24" s="11" t="s">
        <v>28</v>
      </c>
      <c r="F24" s="12">
        <v>46187</v>
      </c>
      <c r="G24" s="11" t="s">
        <v>14</v>
      </c>
      <c r="H24" s="11" t="s">
        <v>148</v>
      </c>
      <c r="I24" s="11"/>
    </row>
    <row r="25" spans="1:9" x14ac:dyDescent="0.45">
      <c r="A25" s="11" t="s">
        <v>149</v>
      </c>
      <c r="B25" s="11" t="s">
        <v>58</v>
      </c>
      <c r="C25" s="11" t="s">
        <v>150</v>
      </c>
      <c r="D25" s="11" t="s">
        <v>151</v>
      </c>
      <c r="E25" s="11" t="s">
        <v>29</v>
      </c>
      <c r="F25" s="12">
        <v>46220</v>
      </c>
      <c r="G25" s="11" t="s">
        <v>25</v>
      </c>
      <c r="H25" s="11" t="s">
        <v>152</v>
      </c>
      <c r="I25" s="11"/>
    </row>
    <row r="26" spans="1:9" x14ac:dyDescent="0.45">
      <c r="A26" s="11" t="s">
        <v>153</v>
      </c>
      <c r="B26" s="11" t="s">
        <v>62</v>
      </c>
      <c r="C26" s="11" t="s">
        <v>101</v>
      </c>
      <c r="D26" s="11" t="s">
        <v>102</v>
      </c>
      <c r="E26" s="11" t="s">
        <v>31</v>
      </c>
      <c r="F26" s="12">
        <v>46263</v>
      </c>
      <c r="G26" s="11" t="s">
        <v>24</v>
      </c>
      <c r="H26" s="11" t="s">
        <v>154</v>
      </c>
      <c r="I26" s="11"/>
    </row>
    <row r="27" spans="1:9" x14ac:dyDescent="0.45">
      <c r="A27" s="11" t="s">
        <v>155</v>
      </c>
      <c r="B27" s="11" t="s">
        <v>46</v>
      </c>
      <c r="C27" s="11" t="s">
        <v>156</v>
      </c>
      <c r="D27" s="11" t="s">
        <v>157</v>
      </c>
      <c r="E27" s="11" t="s">
        <v>32</v>
      </c>
      <c r="F27" s="12">
        <v>46212</v>
      </c>
      <c r="G27" s="11" t="s">
        <v>23</v>
      </c>
      <c r="H27" s="11" t="s">
        <v>158</v>
      </c>
      <c r="I27" s="11" t="s">
        <v>159</v>
      </c>
    </row>
    <row r="28" spans="1:9" x14ac:dyDescent="0.45">
      <c r="A28" s="11" t="s">
        <v>160</v>
      </c>
      <c r="B28" s="11" t="s">
        <v>50</v>
      </c>
      <c r="C28" s="11" t="s">
        <v>74</v>
      </c>
      <c r="D28" s="11" t="s">
        <v>75</v>
      </c>
      <c r="E28" s="11" t="s">
        <v>32</v>
      </c>
      <c r="F28" s="12">
        <v>46234</v>
      </c>
      <c r="G28" s="11" t="s">
        <v>24</v>
      </c>
      <c r="H28" s="11" t="s">
        <v>161</v>
      </c>
      <c r="I28" s="11"/>
    </row>
    <row r="29" spans="1:9" x14ac:dyDescent="0.45">
      <c r="A29" s="11" t="s">
        <v>162</v>
      </c>
      <c r="B29" s="11" t="s">
        <v>54</v>
      </c>
      <c r="C29" s="11" t="s">
        <v>90</v>
      </c>
      <c r="D29" s="11" t="s">
        <v>91</v>
      </c>
      <c r="E29" s="11" t="s">
        <v>31</v>
      </c>
      <c r="F29" s="12">
        <v>46252</v>
      </c>
      <c r="G29" s="11" t="s">
        <v>14</v>
      </c>
      <c r="H29" s="11" t="s">
        <v>163</v>
      </c>
      <c r="I29" s="11"/>
    </row>
    <row r="30" spans="1:9" x14ac:dyDescent="0.45">
      <c r="A30" s="11" t="s">
        <v>164</v>
      </c>
      <c r="B30" s="11" t="s">
        <v>58</v>
      </c>
      <c r="C30" s="11" t="s">
        <v>90</v>
      </c>
      <c r="D30" s="11" t="s">
        <v>91</v>
      </c>
      <c r="E30" s="11" t="s">
        <v>29</v>
      </c>
      <c r="F30" s="12">
        <v>46263</v>
      </c>
      <c r="G30" s="11" t="s">
        <v>25</v>
      </c>
      <c r="H30" s="11" t="s">
        <v>165</v>
      </c>
      <c r="I30" s="11"/>
    </row>
    <row r="31" spans="1:9" x14ac:dyDescent="0.45">
      <c r="A31" s="11" t="s">
        <v>166</v>
      </c>
      <c r="B31" s="11" t="s">
        <v>62</v>
      </c>
      <c r="C31" s="11" t="s">
        <v>90</v>
      </c>
      <c r="D31" s="11" t="s">
        <v>91</v>
      </c>
      <c r="E31" s="11" t="s">
        <v>30</v>
      </c>
      <c r="F31" s="12">
        <v>46272</v>
      </c>
      <c r="G31" s="11" t="s">
        <v>14</v>
      </c>
      <c r="H31" s="11" t="s">
        <v>167</v>
      </c>
      <c r="I31" s="11" t="s">
        <v>168</v>
      </c>
    </row>
    <row r="32" spans="1:9" x14ac:dyDescent="0.45">
      <c r="A32" s="11" t="s">
        <v>169</v>
      </c>
      <c r="B32" s="11" t="s">
        <v>46</v>
      </c>
      <c r="C32" s="11" t="s">
        <v>170</v>
      </c>
      <c r="D32" s="11" t="s">
        <v>75</v>
      </c>
      <c r="E32" s="11" t="s">
        <v>29</v>
      </c>
      <c r="F32" s="12">
        <v>46182</v>
      </c>
      <c r="G32" s="11" t="s">
        <v>21</v>
      </c>
      <c r="H32" s="11" t="s">
        <v>171</v>
      </c>
      <c r="I32" s="11" t="s">
        <v>172</v>
      </c>
    </row>
    <row r="33" spans="1:9" x14ac:dyDescent="0.45">
      <c r="A33" s="11" t="s">
        <v>173</v>
      </c>
      <c r="B33" s="11" t="s">
        <v>50</v>
      </c>
      <c r="C33" s="11" t="s">
        <v>77</v>
      </c>
      <c r="D33" s="11" t="s">
        <v>78</v>
      </c>
      <c r="E33" s="11" t="s">
        <v>32</v>
      </c>
      <c r="F33" s="12">
        <v>46263</v>
      </c>
      <c r="G33" s="11" t="s">
        <v>22</v>
      </c>
      <c r="H33" s="11" t="s">
        <v>174</v>
      </c>
      <c r="I33" s="11" t="s">
        <v>175</v>
      </c>
    </row>
    <row r="34" spans="1:9" x14ac:dyDescent="0.45">
      <c r="A34" s="11" t="s">
        <v>176</v>
      </c>
      <c r="B34" s="11" t="s">
        <v>54</v>
      </c>
      <c r="C34" s="11" t="s">
        <v>93</v>
      </c>
      <c r="D34" s="11" t="s">
        <v>94</v>
      </c>
      <c r="E34" s="11" t="s">
        <v>32</v>
      </c>
      <c r="F34" s="12">
        <v>46269</v>
      </c>
      <c r="G34" s="11" t="s">
        <v>23</v>
      </c>
      <c r="H34" s="11" t="s">
        <v>177</v>
      </c>
      <c r="I34" s="11" t="s">
        <v>178</v>
      </c>
    </row>
    <row r="35" spans="1:9" x14ac:dyDescent="0.45">
      <c r="A35" s="11" t="s">
        <v>179</v>
      </c>
      <c r="B35" s="11" t="s">
        <v>58</v>
      </c>
      <c r="C35" s="11" t="s">
        <v>156</v>
      </c>
      <c r="D35" s="11" t="s">
        <v>157</v>
      </c>
      <c r="E35" s="11" t="s">
        <v>32</v>
      </c>
      <c r="F35" s="12">
        <v>46177</v>
      </c>
      <c r="G35" s="11" t="s">
        <v>23</v>
      </c>
      <c r="H35" s="11"/>
      <c r="I35" s="11" t="s">
        <v>107</v>
      </c>
    </row>
    <row r="36" spans="1:9" x14ac:dyDescent="0.45">
      <c r="A36" s="11" t="s">
        <v>180</v>
      </c>
      <c r="B36" s="11" t="s">
        <v>62</v>
      </c>
      <c r="C36" s="11" t="s">
        <v>101</v>
      </c>
      <c r="D36" s="11" t="s">
        <v>102</v>
      </c>
      <c r="E36" s="11" t="s">
        <v>30</v>
      </c>
      <c r="F36" s="12">
        <v>46271</v>
      </c>
      <c r="G36" s="11" t="s">
        <v>24</v>
      </c>
      <c r="H36" s="11" t="s">
        <v>181</v>
      </c>
      <c r="I36" s="11" t="s">
        <v>182</v>
      </c>
    </row>
    <row r="37" spans="1:9" x14ac:dyDescent="0.45">
      <c r="A37" s="11" t="s">
        <v>183</v>
      </c>
      <c r="B37" s="11" t="s">
        <v>46</v>
      </c>
      <c r="C37" s="11" t="s">
        <v>90</v>
      </c>
      <c r="D37" s="11" t="s">
        <v>91</v>
      </c>
      <c r="E37" s="11" t="s">
        <v>29</v>
      </c>
      <c r="F37" s="12">
        <v>46176</v>
      </c>
      <c r="G37" s="11" t="s">
        <v>22</v>
      </c>
      <c r="H37" s="11" t="s">
        <v>184</v>
      </c>
      <c r="I37" s="11" t="s">
        <v>185</v>
      </c>
    </row>
    <row r="38" spans="1:9" x14ac:dyDescent="0.45">
      <c r="A38" s="11" t="s">
        <v>186</v>
      </c>
      <c r="B38" s="11" t="s">
        <v>50</v>
      </c>
      <c r="C38" s="11" t="s">
        <v>97</v>
      </c>
      <c r="D38" s="11" t="s">
        <v>98</v>
      </c>
      <c r="E38" s="11" t="s">
        <v>31</v>
      </c>
      <c r="F38" s="12">
        <v>46224</v>
      </c>
      <c r="G38" s="11" t="s">
        <v>25</v>
      </c>
      <c r="H38" s="11" t="s">
        <v>187</v>
      </c>
      <c r="I38" s="11"/>
    </row>
    <row r="39" spans="1:9" x14ac:dyDescent="0.45">
      <c r="A39" s="11" t="s">
        <v>188</v>
      </c>
      <c r="B39" s="11" t="s">
        <v>54</v>
      </c>
      <c r="C39" s="11" t="s">
        <v>109</v>
      </c>
      <c r="D39" s="11" t="s">
        <v>110</v>
      </c>
      <c r="E39" s="11" t="s">
        <v>30</v>
      </c>
      <c r="F39" s="12">
        <v>46242</v>
      </c>
      <c r="G39" s="11" t="s">
        <v>23</v>
      </c>
      <c r="H39" s="11" t="s">
        <v>189</v>
      </c>
      <c r="I39" s="11"/>
    </row>
    <row r="40" spans="1:9" x14ac:dyDescent="0.45">
      <c r="A40" s="11" t="s">
        <v>190</v>
      </c>
      <c r="B40" s="11" t="s">
        <v>58</v>
      </c>
      <c r="C40" s="11" t="s">
        <v>133</v>
      </c>
      <c r="D40" s="11" t="s">
        <v>125</v>
      </c>
      <c r="E40" s="11" t="s">
        <v>31</v>
      </c>
      <c r="F40" s="12">
        <v>46220</v>
      </c>
      <c r="G40" s="11" t="s">
        <v>25</v>
      </c>
      <c r="H40" s="11" t="s">
        <v>191</v>
      </c>
      <c r="I40" s="11"/>
    </row>
    <row r="41" spans="1:9" x14ac:dyDescent="0.45">
      <c r="A41" s="11" t="s">
        <v>192</v>
      </c>
      <c r="B41" s="11" t="s">
        <v>62</v>
      </c>
      <c r="C41" s="11" t="s">
        <v>193</v>
      </c>
      <c r="D41" s="11" t="s">
        <v>194</v>
      </c>
      <c r="E41" s="11" t="s">
        <v>32</v>
      </c>
      <c r="F41" s="12">
        <v>46252</v>
      </c>
      <c r="G41" s="11" t="s">
        <v>21</v>
      </c>
      <c r="H41" s="11"/>
      <c r="I41" s="11" t="s">
        <v>195</v>
      </c>
    </row>
    <row r="42" spans="1:9" x14ac:dyDescent="0.45">
      <c r="A42" s="11" t="s">
        <v>196</v>
      </c>
      <c r="B42" s="11" t="s">
        <v>46</v>
      </c>
      <c r="C42" s="11" t="s">
        <v>156</v>
      </c>
      <c r="D42" s="11" t="s">
        <v>157</v>
      </c>
      <c r="E42" s="11" t="s">
        <v>30</v>
      </c>
      <c r="F42" s="12">
        <v>46245</v>
      </c>
      <c r="G42" s="11" t="s">
        <v>14</v>
      </c>
      <c r="H42" s="11" t="s">
        <v>197</v>
      </c>
      <c r="I42" s="11" t="s">
        <v>198</v>
      </c>
    </row>
    <row r="43" spans="1:9" x14ac:dyDescent="0.45">
      <c r="A43" s="11" t="s">
        <v>199</v>
      </c>
      <c r="B43" s="11" t="s">
        <v>50</v>
      </c>
      <c r="C43" s="11" t="s">
        <v>77</v>
      </c>
      <c r="D43" s="11" t="s">
        <v>78</v>
      </c>
      <c r="E43" s="11" t="s">
        <v>29</v>
      </c>
      <c r="F43" s="12">
        <v>46213</v>
      </c>
      <c r="G43" s="11" t="s">
        <v>14</v>
      </c>
      <c r="H43" s="11" t="s">
        <v>200</v>
      </c>
      <c r="I43" s="11"/>
    </row>
    <row r="44" spans="1:9" x14ac:dyDescent="0.45">
      <c r="A44" s="11" t="s">
        <v>201</v>
      </c>
      <c r="B44" s="11" t="s">
        <v>54</v>
      </c>
      <c r="C44" s="11" t="s">
        <v>101</v>
      </c>
      <c r="D44" s="11" t="s">
        <v>102</v>
      </c>
      <c r="E44" s="11" t="s">
        <v>28</v>
      </c>
      <c r="F44" s="12">
        <v>46269</v>
      </c>
      <c r="G44" s="11" t="s">
        <v>14</v>
      </c>
      <c r="H44" s="11"/>
      <c r="I44" s="11"/>
    </row>
    <row r="45" spans="1:9" x14ac:dyDescent="0.45">
      <c r="A45" s="11" t="s">
        <v>202</v>
      </c>
      <c r="B45" s="11" t="s">
        <v>58</v>
      </c>
      <c r="C45" s="11" t="s">
        <v>170</v>
      </c>
      <c r="D45" s="11" t="s">
        <v>75</v>
      </c>
      <c r="E45" s="11" t="s">
        <v>32</v>
      </c>
      <c r="F45" s="12">
        <v>46190</v>
      </c>
      <c r="G45" s="11" t="s">
        <v>22</v>
      </c>
      <c r="H45" s="11" t="s">
        <v>203</v>
      </c>
      <c r="I45" s="11"/>
    </row>
    <row r="46" spans="1:9" x14ac:dyDescent="0.45">
      <c r="A46" s="11" t="s">
        <v>204</v>
      </c>
      <c r="B46" s="11" t="s">
        <v>62</v>
      </c>
      <c r="C46" s="11" t="s">
        <v>133</v>
      </c>
      <c r="D46" s="11" t="s">
        <v>125</v>
      </c>
      <c r="E46" s="11" t="s">
        <v>28</v>
      </c>
      <c r="F46" s="12">
        <v>46225</v>
      </c>
      <c r="G46" s="11" t="s">
        <v>21</v>
      </c>
      <c r="H46" s="11" t="s">
        <v>205</v>
      </c>
      <c r="I46" s="11"/>
    </row>
    <row r="47" spans="1:9" x14ac:dyDescent="0.45">
      <c r="A47" s="11" t="s">
        <v>206</v>
      </c>
      <c r="B47" s="11" t="s">
        <v>46</v>
      </c>
      <c r="C47" s="11" t="s">
        <v>119</v>
      </c>
      <c r="D47" s="11" t="s">
        <v>120</v>
      </c>
      <c r="E47" s="11" t="s">
        <v>28</v>
      </c>
      <c r="F47" s="12">
        <v>46205</v>
      </c>
      <c r="G47" s="11" t="s">
        <v>23</v>
      </c>
      <c r="H47" s="11"/>
      <c r="I47" s="11"/>
    </row>
    <row r="48" spans="1:9" x14ac:dyDescent="0.45">
      <c r="A48" s="11" t="s">
        <v>207</v>
      </c>
      <c r="B48" s="11" t="s">
        <v>50</v>
      </c>
      <c r="C48" s="11" t="s">
        <v>193</v>
      </c>
      <c r="D48" s="11" t="s">
        <v>194</v>
      </c>
      <c r="E48" s="11" t="s">
        <v>30</v>
      </c>
      <c r="F48" s="12">
        <v>46249</v>
      </c>
      <c r="G48" s="11" t="s">
        <v>23</v>
      </c>
      <c r="H48" s="11"/>
      <c r="I48" s="11"/>
    </row>
    <row r="49" spans="1:9" x14ac:dyDescent="0.45">
      <c r="A49" s="11" t="s">
        <v>208</v>
      </c>
      <c r="B49" s="11" t="s">
        <v>54</v>
      </c>
      <c r="C49" s="11" t="s">
        <v>209</v>
      </c>
      <c r="D49" s="11" t="s">
        <v>210</v>
      </c>
      <c r="E49" s="11" t="s">
        <v>32</v>
      </c>
      <c r="F49" s="12">
        <v>46183</v>
      </c>
      <c r="G49" s="11" t="s">
        <v>23</v>
      </c>
      <c r="H49" s="11" t="s">
        <v>211</v>
      </c>
      <c r="I49" s="11"/>
    </row>
    <row r="50" spans="1:9" x14ac:dyDescent="0.45">
      <c r="A50" s="11" t="s">
        <v>212</v>
      </c>
      <c r="B50" s="11" t="s">
        <v>58</v>
      </c>
      <c r="C50" s="11" t="s">
        <v>119</v>
      </c>
      <c r="D50" s="11" t="s">
        <v>120</v>
      </c>
      <c r="E50" s="11" t="s">
        <v>31</v>
      </c>
      <c r="F50" s="12">
        <v>46183</v>
      </c>
      <c r="G50" s="11" t="s">
        <v>21</v>
      </c>
      <c r="H50" s="11"/>
      <c r="I50" s="11"/>
    </row>
    <row r="51" spans="1:9" x14ac:dyDescent="0.45">
      <c r="A51" s="11" t="s">
        <v>213</v>
      </c>
      <c r="B51" s="11" t="s">
        <v>62</v>
      </c>
      <c r="C51" s="11" t="s">
        <v>130</v>
      </c>
      <c r="D51" s="11" t="s">
        <v>131</v>
      </c>
      <c r="E51" s="11" t="s">
        <v>28</v>
      </c>
      <c r="F51" s="12">
        <v>46195</v>
      </c>
      <c r="G51" s="11" t="s">
        <v>14</v>
      </c>
      <c r="H51" s="11"/>
      <c r="I51" s="11"/>
    </row>
    <row r="52" spans="1:9" x14ac:dyDescent="0.45">
      <c r="A52" s="11" t="s">
        <v>214</v>
      </c>
      <c r="B52" s="11" t="s">
        <v>46</v>
      </c>
      <c r="C52" s="11" t="s">
        <v>109</v>
      </c>
      <c r="D52" s="11" t="s">
        <v>110</v>
      </c>
      <c r="E52" s="11" t="s">
        <v>31</v>
      </c>
      <c r="F52" s="12">
        <v>46268</v>
      </c>
      <c r="G52" s="11" t="s">
        <v>25</v>
      </c>
      <c r="H52" s="11"/>
      <c r="I52" s="11"/>
    </row>
    <row r="53" spans="1:9" x14ac:dyDescent="0.45">
      <c r="A53" s="11" t="s">
        <v>215</v>
      </c>
      <c r="B53" s="11" t="s">
        <v>50</v>
      </c>
      <c r="C53" s="11" t="s">
        <v>93</v>
      </c>
      <c r="D53" s="11" t="s">
        <v>94</v>
      </c>
      <c r="E53" s="11" t="s">
        <v>31</v>
      </c>
      <c r="F53" s="12">
        <v>46185</v>
      </c>
      <c r="G53" s="11" t="s">
        <v>22</v>
      </c>
      <c r="H53" s="11" t="s">
        <v>216</v>
      </c>
      <c r="I53" s="11" t="s">
        <v>217</v>
      </c>
    </row>
    <row r="54" spans="1:9" x14ac:dyDescent="0.45">
      <c r="A54" s="11" t="s">
        <v>218</v>
      </c>
      <c r="B54" s="11" t="s">
        <v>54</v>
      </c>
      <c r="C54" s="11" t="s">
        <v>86</v>
      </c>
      <c r="D54" s="11" t="s">
        <v>219</v>
      </c>
      <c r="E54" s="11" t="s">
        <v>32</v>
      </c>
      <c r="F54" s="12">
        <v>46233</v>
      </c>
      <c r="G54" s="11" t="s">
        <v>21</v>
      </c>
      <c r="H54" s="11" t="s">
        <v>220</v>
      </c>
      <c r="I54" s="11" t="s">
        <v>221</v>
      </c>
    </row>
    <row r="55" spans="1:9" x14ac:dyDescent="0.45">
      <c r="A55" s="11" t="s">
        <v>222</v>
      </c>
      <c r="B55" s="11" t="s">
        <v>58</v>
      </c>
      <c r="C55" s="11" t="s">
        <v>74</v>
      </c>
      <c r="D55" s="11" t="s">
        <v>75</v>
      </c>
      <c r="E55" s="11" t="s">
        <v>30</v>
      </c>
      <c r="F55" s="12">
        <v>46244</v>
      </c>
      <c r="G55" s="11" t="s">
        <v>23</v>
      </c>
      <c r="H55" s="11" t="s">
        <v>223</v>
      </c>
      <c r="I55" s="11"/>
    </row>
    <row r="56" spans="1:9" x14ac:dyDescent="0.45">
      <c r="A56" s="11" t="s">
        <v>224</v>
      </c>
      <c r="B56" s="11" t="s">
        <v>62</v>
      </c>
      <c r="C56" s="11" t="s">
        <v>90</v>
      </c>
      <c r="D56" s="11" t="s">
        <v>91</v>
      </c>
      <c r="E56" s="11" t="s">
        <v>29</v>
      </c>
      <c r="F56" s="12">
        <v>46213</v>
      </c>
      <c r="G56" s="11" t="s">
        <v>21</v>
      </c>
      <c r="H56" s="11"/>
      <c r="I56" s="11"/>
    </row>
    <row r="57" spans="1:9" x14ac:dyDescent="0.45">
      <c r="A57" s="11" t="s">
        <v>225</v>
      </c>
      <c r="B57" s="11" t="s">
        <v>46</v>
      </c>
      <c r="C57" s="11" t="s">
        <v>133</v>
      </c>
      <c r="D57" s="11" t="s">
        <v>125</v>
      </c>
      <c r="E57" s="11" t="s">
        <v>31</v>
      </c>
      <c r="F57" s="12">
        <v>46189</v>
      </c>
      <c r="G57" s="11" t="s">
        <v>14</v>
      </c>
      <c r="H57" s="11" t="s">
        <v>226</v>
      </c>
      <c r="I57" s="11"/>
    </row>
    <row r="58" spans="1:9" x14ac:dyDescent="0.45">
      <c r="A58" s="11" t="s">
        <v>227</v>
      </c>
      <c r="B58" s="11" t="s">
        <v>50</v>
      </c>
      <c r="C58" s="11" t="s">
        <v>228</v>
      </c>
      <c r="D58" s="11" t="s">
        <v>229</v>
      </c>
      <c r="E58" s="11" t="s">
        <v>29</v>
      </c>
      <c r="F58" s="12">
        <v>46182</v>
      </c>
      <c r="G58" s="11" t="s">
        <v>23</v>
      </c>
      <c r="H58" s="11" t="s">
        <v>230</v>
      </c>
      <c r="I58" s="11"/>
    </row>
    <row r="59" spans="1:9" x14ac:dyDescent="0.45">
      <c r="A59" s="11" t="s">
        <v>231</v>
      </c>
      <c r="B59" s="11" t="s">
        <v>54</v>
      </c>
      <c r="C59" s="11" t="s">
        <v>119</v>
      </c>
      <c r="D59" s="11" t="s">
        <v>120</v>
      </c>
      <c r="E59" s="11" t="s">
        <v>32</v>
      </c>
      <c r="F59" s="12">
        <v>46248</v>
      </c>
      <c r="G59" s="11" t="s">
        <v>23</v>
      </c>
      <c r="H59" s="11" t="s">
        <v>232</v>
      </c>
      <c r="I59" s="11"/>
    </row>
    <row r="60" spans="1:9" x14ac:dyDescent="0.45">
      <c r="A60" s="11" t="s">
        <v>233</v>
      </c>
      <c r="B60" s="11" t="s">
        <v>58</v>
      </c>
      <c r="C60" s="11" t="s">
        <v>90</v>
      </c>
      <c r="D60" s="11" t="s">
        <v>91</v>
      </c>
      <c r="E60" s="11" t="s">
        <v>32</v>
      </c>
      <c r="F60" s="12">
        <v>46223</v>
      </c>
      <c r="G60" s="11" t="s">
        <v>14</v>
      </c>
      <c r="H60" s="11"/>
      <c r="I60" s="11" t="s">
        <v>234</v>
      </c>
    </row>
    <row r="61" spans="1:9" x14ac:dyDescent="0.45">
      <c r="A61" s="11" t="s">
        <v>235</v>
      </c>
      <c r="B61" s="11" t="s">
        <v>62</v>
      </c>
      <c r="C61" s="11" t="s">
        <v>101</v>
      </c>
      <c r="D61" s="11" t="s">
        <v>102</v>
      </c>
      <c r="E61" s="11" t="s">
        <v>28</v>
      </c>
      <c r="F61" s="12">
        <v>46230</v>
      </c>
      <c r="G61" s="11" t="s">
        <v>23</v>
      </c>
      <c r="H61" s="11" t="s">
        <v>236</v>
      </c>
      <c r="I61" s="11" t="s">
        <v>237</v>
      </c>
    </row>
    <row r="62" spans="1:9" x14ac:dyDescent="0.45">
      <c r="A62" s="11" t="s">
        <v>238</v>
      </c>
      <c r="B62" s="11" t="s">
        <v>46</v>
      </c>
      <c r="C62" s="11" t="s">
        <v>81</v>
      </c>
      <c r="D62" s="11" t="s">
        <v>82</v>
      </c>
      <c r="E62" s="11" t="s">
        <v>30</v>
      </c>
      <c r="F62" s="12">
        <v>46253</v>
      </c>
      <c r="G62" s="11" t="s">
        <v>14</v>
      </c>
      <c r="H62" s="11"/>
      <c r="I62" s="11"/>
    </row>
    <row r="63" spans="1:9" x14ac:dyDescent="0.45">
      <c r="A63" s="11" t="s">
        <v>239</v>
      </c>
      <c r="B63" s="11" t="s">
        <v>50</v>
      </c>
      <c r="C63" s="11" t="s">
        <v>228</v>
      </c>
      <c r="D63" s="11" t="s">
        <v>229</v>
      </c>
      <c r="E63" s="11" t="s">
        <v>28</v>
      </c>
      <c r="F63" s="12">
        <v>46229</v>
      </c>
      <c r="G63" s="11" t="s">
        <v>21</v>
      </c>
      <c r="H63" s="11"/>
      <c r="I63" s="11"/>
    </row>
    <row r="64" spans="1:9" x14ac:dyDescent="0.45">
      <c r="A64" s="11" t="s">
        <v>240</v>
      </c>
      <c r="B64" s="11" t="s">
        <v>54</v>
      </c>
      <c r="C64" s="11" t="s">
        <v>109</v>
      </c>
      <c r="D64" s="11" t="s">
        <v>110</v>
      </c>
      <c r="E64" s="11" t="s">
        <v>30</v>
      </c>
      <c r="F64" s="12">
        <v>46219</v>
      </c>
      <c r="G64" s="11" t="s">
        <v>21</v>
      </c>
      <c r="H64" s="11" t="s">
        <v>241</v>
      </c>
      <c r="I64" s="11" t="s">
        <v>242</v>
      </c>
    </row>
    <row r="65" spans="1:9" x14ac:dyDescent="0.45">
      <c r="A65" s="11" t="s">
        <v>243</v>
      </c>
      <c r="B65" s="11" t="s">
        <v>58</v>
      </c>
      <c r="C65" s="11" t="s">
        <v>209</v>
      </c>
      <c r="D65" s="11" t="s">
        <v>210</v>
      </c>
      <c r="E65" s="11" t="s">
        <v>29</v>
      </c>
      <c r="F65" s="12">
        <v>46184</v>
      </c>
      <c r="G65" s="11" t="s">
        <v>23</v>
      </c>
      <c r="H65" s="11"/>
      <c r="I65" s="11"/>
    </row>
    <row r="66" spans="1:9" x14ac:dyDescent="0.45">
      <c r="A66" s="11" t="s">
        <v>244</v>
      </c>
      <c r="B66" s="11" t="s">
        <v>62</v>
      </c>
      <c r="C66" s="11" t="s">
        <v>193</v>
      </c>
      <c r="D66" s="11" t="s">
        <v>194</v>
      </c>
      <c r="E66" s="11" t="s">
        <v>30</v>
      </c>
      <c r="F66" s="12">
        <v>46260</v>
      </c>
      <c r="G66" s="11" t="s">
        <v>24</v>
      </c>
      <c r="H66" s="11"/>
      <c r="I66" s="11"/>
    </row>
    <row r="67" spans="1:9" x14ac:dyDescent="0.45">
      <c r="A67" s="11" t="s">
        <v>245</v>
      </c>
      <c r="B67" s="11" t="s">
        <v>46</v>
      </c>
      <c r="C67" s="11" t="s">
        <v>77</v>
      </c>
      <c r="D67" s="11" t="s">
        <v>78</v>
      </c>
      <c r="E67" s="11" t="s">
        <v>31</v>
      </c>
      <c r="F67" s="12">
        <v>46187</v>
      </c>
      <c r="G67" s="11" t="s">
        <v>21</v>
      </c>
      <c r="H67" s="11" t="s">
        <v>246</v>
      </c>
      <c r="I67" s="11"/>
    </row>
    <row r="68" spans="1:9" x14ac:dyDescent="0.45">
      <c r="A68" s="11" t="s">
        <v>247</v>
      </c>
      <c r="B68" s="11" t="s">
        <v>50</v>
      </c>
      <c r="C68" s="11" t="s">
        <v>86</v>
      </c>
      <c r="D68" s="11" t="s">
        <v>219</v>
      </c>
      <c r="E68" s="11" t="s">
        <v>32</v>
      </c>
      <c r="F68" s="12">
        <v>46261</v>
      </c>
      <c r="G68" s="11" t="s">
        <v>24</v>
      </c>
      <c r="H68" s="11"/>
      <c r="I68" s="11"/>
    </row>
    <row r="69" spans="1:9" x14ac:dyDescent="0.45">
      <c r="A69" s="11" t="s">
        <v>248</v>
      </c>
      <c r="B69" s="11" t="s">
        <v>54</v>
      </c>
      <c r="C69" s="11" t="s">
        <v>249</v>
      </c>
      <c r="D69" s="11" t="s">
        <v>250</v>
      </c>
      <c r="E69" s="11" t="s">
        <v>29</v>
      </c>
      <c r="F69" s="12">
        <v>46254</v>
      </c>
      <c r="G69" s="11" t="s">
        <v>22</v>
      </c>
      <c r="H69" s="11" t="s">
        <v>251</v>
      </c>
      <c r="I69" s="11" t="s">
        <v>252</v>
      </c>
    </row>
    <row r="70" spans="1:9" x14ac:dyDescent="0.45">
      <c r="A70" s="11" t="s">
        <v>253</v>
      </c>
      <c r="B70" s="11" t="s">
        <v>58</v>
      </c>
      <c r="C70" s="11" t="s">
        <v>74</v>
      </c>
      <c r="D70" s="11" t="s">
        <v>75</v>
      </c>
      <c r="E70" s="11" t="s">
        <v>29</v>
      </c>
      <c r="F70" s="12">
        <v>46274</v>
      </c>
      <c r="G70" s="11" t="s">
        <v>25</v>
      </c>
      <c r="H70" s="11"/>
      <c r="I70" s="11"/>
    </row>
    <row r="71" spans="1:9" x14ac:dyDescent="0.45">
      <c r="A71" s="11" t="s">
        <v>254</v>
      </c>
      <c r="B71" s="11" t="s">
        <v>62</v>
      </c>
      <c r="C71" s="11" t="s">
        <v>228</v>
      </c>
      <c r="D71" s="11" t="s">
        <v>229</v>
      </c>
      <c r="E71" s="11" t="s">
        <v>31</v>
      </c>
      <c r="F71" s="12">
        <v>46245</v>
      </c>
      <c r="G71" s="11" t="s">
        <v>21</v>
      </c>
      <c r="H71" s="11" t="s">
        <v>255</v>
      </c>
      <c r="I71" s="11"/>
    </row>
    <row r="72" spans="1:9" x14ac:dyDescent="0.45">
      <c r="A72" s="11" t="s">
        <v>256</v>
      </c>
      <c r="B72" s="11" t="s">
        <v>46</v>
      </c>
      <c r="C72" s="11" t="s">
        <v>97</v>
      </c>
      <c r="D72" s="11" t="s">
        <v>98</v>
      </c>
      <c r="E72" s="11" t="s">
        <v>31</v>
      </c>
      <c r="F72" s="12">
        <v>46255</v>
      </c>
      <c r="G72" s="11" t="s">
        <v>21</v>
      </c>
      <c r="H72" s="11"/>
      <c r="I72" s="11" t="s">
        <v>257</v>
      </c>
    </row>
    <row r="73" spans="1:9" x14ac:dyDescent="0.45">
      <c r="A73" s="11" t="s">
        <v>258</v>
      </c>
      <c r="B73" s="11" t="s">
        <v>50</v>
      </c>
      <c r="C73" s="11" t="s">
        <v>150</v>
      </c>
      <c r="D73" s="11" t="s">
        <v>151</v>
      </c>
      <c r="E73" s="11" t="s">
        <v>30</v>
      </c>
      <c r="F73" s="12">
        <v>46252</v>
      </c>
      <c r="G73" s="11" t="s">
        <v>25</v>
      </c>
      <c r="H73" s="11" t="s">
        <v>259</v>
      </c>
      <c r="I73" s="11" t="s">
        <v>260</v>
      </c>
    </row>
    <row r="74" spans="1:9" x14ac:dyDescent="0.45">
      <c r="A74" s="11" t="s">
        <v>261</v>
      </c>
      <c r="B74" s="11" t="s">
        <v>54</v>
      </c>
      <c r="C74" s="11" t="s">
        <v>228</v>
      </c>
      <c r="D74" s="11" t="s">
        <v>229</v>
      </c>
      <c r="E74" s="11" t="s">
        <v>32</v>
      </c>
      <c r="F74" s="12">
        <v>46227</v>
      </c>
      <c r="G74" s="11" t="s">
        <v>23</v>
      </c>
      <c r="H74" s="11"/>
      <c r="I74" s="11"/>
    </row>
    <row r="75" spans="1:9" x14ac:dyDescent="0.45">
      <c r="A75" s="11" t="s">
        <v>262</v>
      </c>
      <c r="B75" s="11" t="s">
        <v>58</v>
      </c>
      <c r="C75" s="11" t="s">
        <v>90</v>
      </c>
      <c r="D75" s="11" t="s">
        <v>91</v>
      </c>
      <c r="E75" s="11" t="s">
        <v>30</v>
      </c>
      <c r="F75" s="12">
        <v>46186</v>
      </c>
      <c r="G75" s="11" t="s">
        <v>25</v>
      </c>
      <c r="H75" s="11" t="s">
        <v>263</v>
      </c>
      <c r="I75" s="11" t="s">
        <v>126</v>
      </c>
    </row>
    <row r="76" spans="1:9" x14ac:dyDescent="0.45">
      <c r="A76" s="11" t="s">
        <v>264</v>
      </c>
      <c r="B76" s="11" t="s">
        <v>62</v>
      </c>
      <c r="C76" s="11" t="s">
        <v>265</v>
      </c>
      <c r="D76" s="11" t="s">
        <v>266</v>
      </c>
      <c r="E76" s="11" t="s">
        <v>32</v>
      </c>
      <c r="F76" s="12">
        <v>46176</v>
      </c>
      <c r="G76" s="11" t="s">
        <v>23</v>
      </c>
      <c r="H76" s="11" t="s">
        <v>267</v>
      </c>
      <c r="I76" s="11" t="s">
        <v>268</v>
      </c>
    </row>
    <row r="77" spans="1:9" x14ac:dyDescent="0.45">
      <c r="A77" s="11" t="s">
        <v>269</v>
      </c>
      <c r="B77" s="11" t="s">
        <v>46</v>
      </c>
      <c r="C77" s="11" t="s">
        <v>74</v>
      </c>
      <c r="D77" s="11" t="s">
        <v>75</v>
      </c>
      <c r="E77" s="11" t="s">
        <v>32</v>
      </c>
      <c r="F77" s="12">
        <v>46201</v>
      </c>
      <c r="G77" s="11" t="s">
        <v>25</v>
      </c>
      <c r="H77" s="11" t="s">
        <v>270</v>
      </c>
      <c r="I77" s="11"/>
    </row>
    <row r="78" spans="1:9" x14ac:dyDescent="0.45">
      <c r="A78" s="11" t="s">
        <v>271</v>
      </c>
      <c r="B78" s="11" t="s">
        <v>50</v>
      </c>
      <c r="C78" s="11" t="s">
        <v>90</v>
      </c>
      <c r="D78" s="11" t="s">
        <v>91</v>
      </c>
      <c r="E78" s="11" t="s">
        <v>32</v>
      </c>
      <c r="F78" s="12">
        <v>46215</v>
      </c>
      <c r="G78" s="11" t="s">
        <v>14</v>
      </c>
      <c r="H78" s="11" t="s">
        <v>272</v>
      </c>
      <c r="I78" s="11" t="s">
        <v>273</v>
      </c>
    </row>
    <row r="79" spans="1:9" x14ac:dyDescent="0.45">
      <c r="A79" s="11" t="s">
        <v>274</v>
      </c>
      <c r="B79" s="11" t="s">
        <v>54</v>
      </c>
      <c r="C79" s="11" t="s">
        <v>228</v>
      </c>
      <c r="D79" s="11" t="s">
        <v>229</v>
      </c>
      <c r="E79" s="11" t="s">
        <v>32</v>
      </c>
      <c r="F79" s="12">
        <v>46212</v>
      </c>
      <c r="G79" s="11" t="s">
        <v>23</v>
      </c>
      <c r="H79" s="11" t="s">
        <v>275</v>
      </c>
      <c r="I79" s="11"/>
    </row>
    <row r="80" spans="1:9" x14ac:dyDescent="0.45">
      <c r="A80" s="11" t="s">
        <v>276</v>
      </c>
      <c r="B80" s="11" t="s">
        <v>58</v>
      </c>
      <c r="C80" s="11" t="s">
        <v>130</v>
      </c>
      <c r="D80" s="11" t="s">
        <v>131</v>
      </c>
      <c r="E80" s="11" t="s">
        <v>28</v>
      </c>
      <c r="F80" s="12">
        <v>46215</v>
      </c>
      <c r="G80" s="11" t="s">
        <v>25</v>
      </c>
      <c r="H80" s="11"/>
      <c r="I80" s="11"/>
    </row>
    <row r="81" spans="1:9" x14ac:dyDescent="0.45">
      <c r="A81" s="11" t="s">
        <v>277</v>
      </c>
      <c r="B81" s="11" t="s">
        <v>62</v>
      </c>
      <c r="C81" s="11" t="s">
        <v>119</v>
      </c>
      <c r="D81" s="11" t="s">
        <v>120</v>
      </c>
      <c r="E81" s="11" t="s">
        <v>31</v>
      </c>
      <c r="F81" s="12">
        <v>46238</v>
      </c>
      <c r="G81" s="11" t="s">
        <v>24</v>
      </c>
      <c r="H81" s="11"/>
      <c r="I81" s="11"/>
    </row>
    <row r="82" spans="1:9" x14ac:dyDescent="0.45">
      <c r="A82" s="11" t="s">
        <v>278</v>
      </c>
      <c r="B82" s="11" t="s">
        <v>46</v>
      </c>
      <c r="C82" s="11" t="s">
        <v>228</v>
      </c>
      <c r="D82" s="11" t="s">
        <v>229</v>
      </c>
      <c r="E82" s="11" t="s">
        <v>28</v>
      </c>
      <c r="F82" s="12">
        <v>46214</v>
      </c>
      <c r="G82" s="11" t="s">
        <v>23</v>
      </c>
      <c r="H82" s="11" t="s">
        <v>279</v>
      </c>
      <c r="I82" s="11" t="s">
        <v>280</v>
      </c>
    </row>
    <row r="83" spans="1:9" x14ac:dyDescent="0.45">
      <c r="A83" s="11" t="s">
        <v>281</v>
      </c>
      <c r="B83" s="11" t="s">
        <v>50</v>
      </c>
      <c r="C83" s="11" t="s">
        <v>133</v>
      </c>
      <c r="D83" s="11" t="s">
        <v>125</v>
      </c>
      <c r="E83" s="11" t="s">
        <v>30</v>
      </c>
      <c r="F83" s="12">
        <v>46190</v>
      </c>
      <c r="G83" s="11" t="s">
        <v>14</v>
      </c>
      <c r="H83" s="11" t="s">
        <v>282</v>
      </c>
      <c r="I83" s="11"/>
    </row>
    <row r="84" spans="1:9" x14ac:dyDescent="0.45">
      <c r="A84" s="11" t="s">
        <v>283</v>
      </c>
      <c r="B84" s="11" t="s">
        <v>54</v>
      </c>
      <c r="C84" s="11" t="s">
        <v>74</v>
      </c>
      <c r="D84" s="11" t="s">
        <v>75</v>
      </c>
      <c r="E84" s="11" t="s">
        <v>29</v>
      </c>
      <c r="F84" s="12">
        <v>46258</v>
      </c>
      <c r="G84" s="11" t="s">
        <v>14</v>
      </c>
      <c r="H84" s="11" t="s">
        <v>284</v>
      </c>
      <c r="I84" s="11" t="s">
        <v>285</v>
      </c>
    </row>
    <row r="85" spans="1:9" x14ac:dyDescent="0.45">
      <c r="A85" s="11" t="s">
        <v>286</v>
      </c>
      <c r="B85" s="11" t="s">
        <v>58</v>
      </c>
      <c r="C85" s="11" t="s">
        <v>156</v>
      </c>
      <c r="D85" s="11" t="s">
        <v>157</v>
      </c>
      <c r="E85" s="11" t="s">
        <v>32</v>
      </c>
      <c r="F85" s="12">
        <v>46260</v>
      </c>
      <c r="G85" s="11" t="s">
        <v>25</v>
      </c>
      <c r="H85" s="11" t="s">
        <v>287</v>
      </c>
      <c r="I85" s="11"/>
    </row>
    <row r="86" spans="1:9" x14ac:dyDescent="0.45">
      <c r="A86" s="11" t="s">
        <v>288</v>
      </c>
      <c r="B86" s="11" t="s">
        <v>62</v>
      </c>
      <c r="C86" s="11" t="s">
        <v>77</v>
      </c>
      <c r="D86" s="11" t="s">
        <v>78</v>
      </c>
      <c r="E86" s="11" t="s">
        <v>31</v>
      </c>
      <c r="F86" s="12">
        <v>46232</v>
      </c>
      <c r="G86" s="11" t="s">
        <v>25</v>
      </c>
      <c r="H86" s="11"/>
      <c r="I86" s="11"/>
    </row>
    <row r="87" spans="1:9" x14ac:dyDescent="0.45">
      <c r="A87" s="11" t="s">
        <v>289</v>
      </c>
      <c r="B87" s="11" t="s">
        <v>46</v>
      </c>
      <c r="C87" s="11" t="s">
        <v>144</v>
      </c>
      <c r="D87" s="11" t="s">
        <v>145</v>
      </c>
      <c r="E87" s="11" t="s">
        <v>32</v>
      </c>
      <c r="F87" s="12">
        <v>46180</v>
      </c>
      <c r="G87" s="11" t="s">
        <v>21</v>
      </c>
      <c r="H87" s="11"/>
      <c r="I87" s="11" t="s">
        <v>290</v>
      </c>
    </row>
    <row r="88" spans="1:9" x14ac:dyDescent="0.45">
      <c r="A88" s="11" t="s">
        <v>291</v>
      </c>
      <c r="B88" s="11" t="s">
        <v>50</v>
      </c>
      <c r="C88" s="11" t="s">
        <v>292</v>
      </c>
      <c r="D88" s="11" t="s">
        <v>293</v>
      </c>
      <c r="E88" s="11" t="s">
        <v>31</v>
      </c>
      <c r="F88" s="12">
        <v>46188</v>
      </c>
      <c r="G88" s="11" t="s">
        <v>23</v>
      </c>
      <c r="H88" s="11" t="s">
        <v>294</v>
      </c>
      <c r="I88" s="11"/>
    </row>
    <row r="89" spans="1:9" x14ac:dyDescent="0.45">
      <c r="A89" s="11" t="s">
        <v>295</v>
      </c>
      <c r="B89" s="11" t="s">
        <v>54</v>
      </c>
      <c r="C89" s="11" t="s">
        <v>109</v>
      </c>
      <c r="D89" s="11" t="s">
        <v>110</v>
      </c>
      <c r="E89" s="11" t="s">
        <v>28</v>
      </c>
      <c r="F89" s="12">
        <v>46200</v>
      </c>
      <c r="G89" s="11" t="s">
        <v>24</v>
      </c>
      <c r="H89" s="11"/>
      <c r="I89" s="11"/>
    </row>
    <row r="90" spans="1:9" x14ac:dyDescent="0.45">
      <c r="A90" s="11" t="s">
        <v>296</v>
      </c>
      <c r="B90" s="11" t="s">
        <v>58</v>
      </c>
      <c r="C90" s="11" t="s">
        <v>209</v>
      </c>
      <c r="D90" s="11" t="s">
        <v>210</v>
      </c>
      <c r="E90" s="11" t="s">
        <v>29</v>
      </c>
      <c r="F90" s="12">
        <v>46222</v>
      </c>
      <c r="G90" s="11" t="s">
        <v>21</v>
      </c>
      <c r="H90" s="11" t="s">
        <v>297</v>
      </c>
      <c r="I90" s="11" t="s">
        <v>298</v>
      </c>
    </row>
    <row r="91" spans="1:9" x14ac:dyDescent="0.45">
      <c r="A91" s="11" t="s">
        <v>299</v>
      </c>
      <c r="B91" s="11" t="s">
        <v>62</v>
      </c>
      <c r="C91" s="11" t="s">
        <v>109</v>
      </c>
      <c r="D91" s="11" t="s">
        <v>110</v>
      </c>
      <c r="E91" s="11" t="s">
        <v>31</v>
      </c>
      <c r="F91" s="12">
        <v>46176</v>
      </c>
      <c r="G91" s="11" t="s">
        <v>23</v>
      </c>
      <c r="H91" s="11"/>
      <c r="I91" s="11"/>
    </row>
    <row r="92" spans="1:9" x14ac:dyDescent="0.45">
      <c r="A92" s="11" t="s">
        <v>300</v>
      </c>
      <c r="B92" s="11" t="s">
        <v>46</v>
      </c>
      <c r="C92" s="11" t="s">
        <v>133</v>
      </c>
      <c r="D92" s="11" t="s">
        <v>125</v>
      </c>
      <c r="E92" s="11" t="s">
        <v>31</v>
      </c>
      <c r="F92" s="12">
        <v>46176</v>
      </c>
      <c r="G92" s="11" t="s">
        <v>25</v>
      </c>
      <c r="H92" s="11"/>
      <c r="I92" s="11"/>
    </row>
    <row r="93" spans="1:9" x14ac:dyDescent="0.45">
      <c r="A93" s="11" t="s">
        <v>301</v>
      </c>
      <c r="B93" s="11" t="s">
        <v>50</v>
      </c>
      <c r="C93" s="11" t="s">
        <v>97</v>
      </c>
      <c r="D93" s="11" t="s">
        <v>98</v>
      </c>
      <c r="E93" s="11" t="s">
        <v>31</v>
      </c>
      <c r="F93" s="12">
        <v>46241</v>
      </c>
      <c r="G93" s="11" t="s">
        <v>21</v>
      </c>
      <c r="H93" s="11" t="s">
        <v>302</v>
      </c>
      <c r="I93" s="11"/>
    </row>
    <row r="94" spans="1:9" x14ac:dyDescent="0.45">
      <c r="A94" s="11" t="s">
        <v>303</v>
      </c>
      <c r="B94" s="11" t="s">
        <v>54</v>
      </c>
      <c r="C94" s="11" t="s">
        <v>130</v>
      </c>
      <c r="D94" s="11" t="s">
        <v>131</v>
      </c>
      <c r="E94" s="11" t="s">
        <v>32</v>
      </c>
      <c r="F94" s="12">
        <v>46255</v>
      </c>
      <c r="G94" s="11" t="s">
        <v>21</v>
      </c>
      <c r="H94" s="11" t="s">
        <v>304</v>
      </c>
      <c r="I94" s="11"/>
    </row>
    <row r="95" spans="1:9" x14ac:dyDescent="0.45">
      <c r="A95" s="11" t="s">
        <v>305</v>
      </c>
      <c r="B95" s="11" t="s">
        <v>58</v>
      </c>
      <c r="C95" s="11" t="s">
        <v>265</v>
      </c>
      <c r="D95" s="11" t="s">
        <v>266</v>
      </c>
      <c r="E95" s="11" t="s">
        <v>29</v>
      </c>
      <c r="F95" s="12">
        <v>46204</v>
      </c>
      <c r="G95" s="11" t="s">
        <v>14</v>
      </c>
      <c r="H95" s="11" t="s">
        <v>306</v>
      </c>
      <c r="I95" s="11" t="s">
        <v>307</v>
      </c>
    </row>
    <row r="96" spans="1:9" x14ac:dyDescent="0.45">
      <c r="A96" s="11" t="s">
        <v>308</v>
      </c>
      <c r="B96" s="11" t="s">
        <v>62</v>
      </c>
      <c r="C96" s="11" t="s">
        <v>249</v>
      </c>
      <c r="D96" s="11" t="s">
        <v>250</v>
      </c>
      <c r="E96" s="11" t="s">
        <v>32</v>
      </c>
      <c r="F96" s="12">
        <v>46256</v>
      </c>
      <c r="G96" s="11" t="s">
        <v>14</v>
      </c>
      <c r="H96" s="11" t="s">
        <v>309</v>
      </c>
      <c r="I96" s="11"/>
    </row>
    <row r="97" spans="1:9" x14ac:dyDescent="0.45">
      <c r="A97" s="11" t="s">
        <v>310</v>
      </c>
      <c r="B97" s="11" t="s">
        <v>46</v>
      </c>
      <c r="C97" s="11" t="s">
        <v>97</v>
      </c>
      <c r="D97" s="11" t="s">
        <v>98</v>
      </c>
      <c r="E97" s="11" t="s">
        <v>28</v>
      </c>
      <c r="F97" s="12">
        <v>46219</v>
      </c>
      <c r="G97" s="11" t="s">
        <v>14</v>
      </c>
      <c r="H97" s="11" t="s">
        <v>311</v>
      </c>
      <c r="I97" s="11"/>
    </row>
    <row r="98" spans="1:9" x14ac:dyDescent="0.45">
      <c r="A98" s="11" t="s">
        <v>312</v>
      </c>
      <c r="B98" s="11" t="s">
        <v>50</v>
      </c>
      <c r="C98" s="11" t="s">
        <v>150</v>
      </c>
      <c r="D98" s="11" t="s">
        <v>151</v>
      </c>
      <c r="E98" s="11" t="s">
        <v>28</v>
      </c>
      <c r="F98" s="12">
        <v>46231</v>
      </c>
      <c r="G98" s="11" t="s">
        <v>25</v>
      </c>
      <c r="H98" s="11" t="s">
        <v>313</v>
      </c>
      <c r="I98" s="11"/>
    </row>
    <row r="99" spans="1:9" x14ac:dyDescent="0.45">
      <c r="A99" s="11" t="s">
        <v>314</v>
      </c>
      <c r="B99" s="11" t="s">
        <v>54</v>
      </c>
      <c r="C99" s="11" t="s">
        <v>209</v>
      </c>
      <c r="D99" s="11" t="s">
        <v>210</v>
      </c>
      <c r="E99" s="11" t="s">
        <v>30</v>
      </c>
      <c r="F99" s="12">
        <v>46221</v>
      </c>
      <c r="G99" s="11" t="s">
        <v>21</v>
      </c>
      <c r="H99" s="11"/>
      <c r="I99" s="11" t="s">
        <v>315</v>
      </c>
    </row>
    <row r="100" spans="1:9" x14ac:dyDescent="0.45">
      <c r="A100" s="11" t="s">
        <v>316</v>
      </c>
      <c r="B100" s="11" t="s">
        <v>58</v>
      </c>
      <c r="C100" s="11" t="s">
        <v>249</v>
      </c>
      <c r="D100" s="11" t="s">
        <v>250</v>
      </c>
      <c r="E100" s="11" t="s">
        <v>31</v>
      </c>
      <c r="F100" s="12">
        <v>46210</v>
      </c>
      <c r="G100" s="11" t="s">
        <v>21</v>
      </c>
      <c r="H100" s="11" t="s">
        <v>317</v>
      </c>
      <c r="I100" s="11"/>
    </row>
    <row r="101" spans="1:9" x14ac:dyDescent="0.45">
      <c r="A101" s="11" t="s">
        <v>318</v>
      </c>
      <c r="B101" s="11" t="s">
        <v>62</v>
      </c>
      <c r="C101" s="11" t="s">
        <v>265</v>
      </c>
      <c r="D101" s="11" t="s">
        <v>266</v>
      </c>
      <c r="E101" s="11" t="s">
        <v>31</v>
      </c>
      <c r="F101" s="12">
        <v>46190</v>
      </c>
      <c r="G101" s="11" t="s">
        <v>24</v>
      </c>
      <c r="H101" s="11"/>
      <c r="I101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0"/>
  <sheetViews>
    <sheetView zoomScaleNormal="100" workbookViewId="0">
      <pane ySplit="1" topLeftCell="A120" activePane="bottomLeft" state="frozen"/>
      <selection pane="bottomLeft"/>
    </sheetView>
  </sheetViews>
  <sheetFormatPr defaultColWidth="8.6640625" defaultRowHeight="14.25" x14ac:dyDescent="0.45"/>
  <cols>
    <col min="1" max="1" width="16" customWidth="1"/>
    <col min="2" max="4" width="14" customWidth="1"/>
    <col min="5" max="5" width="16" customWidth="1"/>
  </cols>
  <sheetData>
    <row r="1" spans="1:5" ht="30" customHeight="1" x14ac:dyDescent="0.45">
      <c r="A1" s="10" t="s">
        <v>319</v>
      </c>
      <c r="B1" s="10" t="s">
        <v>66</v>
      </c>
      <c r="C1" s="10" t="s">
        <v>320</v>
      </c>
      <c r="D1" s="10" t="s">
        <v>321</v>
      </c>
      <c r="E1" s="10" t="s">
        <v>322</v>
      </c>
    </row>
    <row r="2" spans="1:5" x14ac:dyDescent="0.45">
      <c r="A2" s="11" t="s">
        <v>323</v>
      </c>
      <c r="B2" s="11" t="s">
        <v>73</v>
      </c>
      <c r="C2" s="11" t="s">
        <v>21</v>
      </c>
      <c r="D2" s="11" t="s">
        <v>14</v>
      </c>
      <c r="E2" s="12">
        <v>46275</v>
      </c>
    </row>
    <row r="3" spans="1:5" x14ac:dyDescent="0.45">
      <c r="A3" s="11" t="s">
        <v>324</v>
      </c>
      <c r="B3" s="11" t="s">
        <v>73</v>
      </c>
      <c r="C3" s="11" t="s">
        <v>14</v>
      </c>
      <c r="D3" s="11" t="s">
        <v>22</v>
      </c>
      <c r="E3" s="12">
        <v>46278</v>
      </c>
    </row>
    <row r="4" spans="1:5" x14ac:dyDescent="0.45">
      <c r="A4" s="11" t="s">
        <v>325</v>
      </c>
      <c r="B4" s="11" t="s">
        <v>76</v>
      </c>
      <c r="C4" s="11" t="s">
        <v>21</v>
      </c>
      <c r="D4" s="11" t="s">
        <v>14</v>
      </c>
      <c r="E4" s="12">
        <v>46207</v>
      </c>
    </row>
    <row r="5" spans="1:5" x14ac:dyDescent="0.45">
      <c r="A5" s="11" t="s">
        <v>326</v>
      </c>
      <c r="B5" s="11" t="s">
        <v>76</v>
      </c>
      <c r="C5" s="11" t="s">
        <v>14</v>
      </c>
      <c r="D5" s="11" t="s">
        <v>22</v>
      </c>
      <c r="E5" s="12">
        <v>46218</v>
      </c>
    </row>
    <row r="6" spans="1:5" x14ac:dyDescent="0.45">
      <c r="A6" s="11" t="s">
        <v>327</v>
      </c>
      <c r="B6" s="11" t="s">
        <v>80</v>
      </c>
      <c r="C6" s="11" t="s">
        <v>21</v>
      </c>
      <c r="D6" s="11" t="s">
        <v>14</v>
      </c>
      <c r="E6" s="12">
        <v>46186</v>
      </c>
    </row>
    <row r="7" spans="1:5" x14ac:dyDescent="0.45">
      <c r="A7" s="11" t="s">
        <v>328</v>
      </c>
      <c r="B7" s="11" t="s">
        <v>80</v>
      </c>
      <c r="C7" s="11" t="s">
        <v>14</v>
      </c>
      <c r="D7" s="11" t="s">
        <v>24</v>
      </c>
      <c r="E7" s="12">
        <v>46193</v>
      </c>
    </row>
    <row r="8" spans="1:5" x14ac:dyDescent="0.45">
      <c r="A8" s="11" t="s">
        <v>329</v>
      </c>
      <c r="B8" s="11" t="s">
        <v>80</v>
      </c>
      <c r="C8" s="11" t="s">
        <v>24</v>
      </c>
      <c r="D8" s="11" t="s">
        <v>25</v>
      </c>
      <c r="E8" s="12">
        <v>46201</v>
      </c>
    </row>
    <row r="9" spans="1:5" x14ac:dyDescent="0.45">
      <c r="A9" s="11" t="s">
        <v>330</v>
      </c>
      <c r="B9" s="11" t="s">
        <v>89</v>
      </c>
      <c r="C9" s="11" t="s">
        <v>21</v>
      </c>
      <c r="D9" s="11" t="s">
        <v>14</v>
      </c>
      <c r="E9" s="12">
        <v>46208</v>
      </c>
    </row>
    <row r="10" spans="1:5" x14ac:dyDescent="0.45">
      <c r="A10" s="11" t="s">
        <v>331</v>
      </c>
      <c r="B10" s="11" t="s">
        <v>89</v>
      </c>
      <c r="C10" s="11" t="s">
        <v>14</v>
      </c>
      <c r="D10" s="11" t="s">
        <v>23</v>
      </c>
      <c r="E10" s="12">
        <v>46212</v>
      </c>
    </row>
    <row r="11" spans="1:5" x14ac:dyDescent="0.45">
      <c r="A11" s="11" t="s">
        <v>332</v>
      </c>
      <c r="B11" s="11" t="s">
        <v>92</v>
      </c>
      <c r="C11" s="11" t="s">
        <v>21</v>
      </c>
      <c r="D11" s="11" t="s">
        <v>14</v>
      </c>
      <c r="E11" s="12">
        <v>46249</v>
      </c>
    </row>
    <row r="12" spans="1:5" x14ac:dyDescent="0.45">
      <c r="A12" s="11" t="s">
        <v>333</v>
      </c>
      <c r="B12" s="11" t="s">
        <v>92</v>
      </c>
      <c r="C12" s="11" t="s">
        <v>14</v>
      </c>
      <c r="D12" s="11" t="s">
        <v>23</v>
      </c>
      <c r="E12" s="12">
        <v>46256</v>
      </c>
    </row>
    <row r="13" spans="1:5" x14ac:dyDescent="0.45">
      <c r="A13" s="11" t="s">
        <v>334</v>
      </c>
      <c r="B13" s="11" t="s">
        <v>100</v>
      </c>
      <c r="C13" s="11" t="s">
        <v>21</v>
      </c>
      <c r="D13" s="11" t="s">
        <v>23</v>
      </c>
      <c r="E13" s="12">
        <v>46249</v>
      </c>
    </row>
    <row r="14" spans="1:5" x14ac:dyDescent="0.45">
      <c r="A14" s="11" t="s">
        <v>335</v>
      </c>
      <c r="B14" s="11" t="s">
        <v>108</v>
      </c>
      <c r="C14" s="11" t="s">
        <v>21</v>
      </c>
      <c r="D14" s="11" t="s">
        <v>24</v>
      </c>
      <c r="E14" s="12">
        <v>46271</v>
      </c>
    </row>
    <row r="15" spans="1:5" x14ac:dyDescent="0.45">
      <c r="A15" s="11" t="s">
        <v>336</v>
      </c>
      <c r="B15" s="11" t="s">
        <v>113</v>
      </c>
      <c r="C15" s="11" t="s">
        <v>21</v>
      </c>
      <c r="D15" s="11" t="s">
        <v>14</v>
      </c>
      <c r="E15" s="12">
        <v>46241</v>
      </c>
    </row>
    <row r="16" spans="1:5" x14ac:dyDescent="0.45">
      <c r="A16" s="11" t="s">
        <v>337</v>
      </c>
      <c r="B16" s="11" t="s">
        <v>113</v>
      </c>
      <c r="C16" s="11" t="s">
        <v>14</v>
      </c>
      <c r="D16" s="11" t="s">
        <v>24</v>
      </c>
      <c r="E16" s="12">
        <v>46245</v>
      </c>
    </row>
    <row r="17" spans="1:5" x14ac:dyDescent="0.45">
      <c r="A17" s="11" t="s">
        <v>338</v>
      </c>
      <c r="B17" s="11" t="s">
        <v>118</v>
      </c>
      <c r="C17" s="11" t="s">
        <v>21</v>
      </c>
      <c r="D17" s="11" t="s">
        <v>14</v>
      </c>
      <c r="E17" s="12">
        <v>46274</v>
      </c>
    </row>
    <row r="18" spans="1:5" x14ac:dyDescent="0.45">
      <c r="A18" s="11" t="s">
        <v>339</v>
      </c>
      <c r="B18" s="11" t="s">
        <v>118</v>
      </c>
      <c r="C18" s="11" t="s">
        <v>14</v>
      </c>
      <c r="D18" s="11" t="s">
        <v>23</v>
      </c>
      <c r="E18" s="12">
        <v>46278</v>
      </c>
    </row>
    <row r="19" spans="1:5" x14ac:dyDescent="0.45">
      <c r="A19" s="11" t="s">
        <v>340</v>
      </c>
      <c r="B19" s="11" t="s">
        <v>123</v>
      </c>
      <c r="C19" s="11" t="s">
        <v>21</v>
      </c>
      <c r="D19" s="11" t="s">
        <v>23</v>
      </c>
      <c r="E19" s="12">
        <v>46201</v>
      </c>
    </row>
    <row r="20" spans="1:5" x14ac:dyDescent="0.45">
      <c r="A20" s="11" t="s">
        <v>341</v>
      </c>
      <c r="B20" s="11" t="s">
        <v>127</v>
      </c>
      <c r="C20" s="11" t="s">
        <v>21</v>
      </c>
      <c r="D20" s="11" t="s">
        <v>14</v>
      </c>
      <c r="E20" s="12">
        <v>46253</v>
      </c>
    </row>
    <row r="21" spans="1:5" x14ac:dyDescent="0.45">
      <c r="A21" s="11" t="s">
        <v>342</v>
      </c>
      <c r="B21" s="11" t="s">
        <v>127</v>
      </c>
      <c r="C21" s="11" t="s">
        <v>14</v>
      </c>
      <c r="D21" s="11" t="s">
        <v>24</v>
      </c>
      <c r="E21" s="12">
        <v>46259</v>
      </c>
    </row>
    <row r="22" spans="1:5" x14ac:dyDescent="0.45">
      <c r="A22" s="11" t="s">
        <v>343</v>
      </c>
      <c r="B22" s="11" t="s">
        <v>129</v>
      </c>
      <c r="C22" s="11" t="s">
        <v>21</v>
      </c>
      <c r="D22" s="11" t="s">
        <v>14</v>
      </c>
      <c r="E22" s="12">
        <v>46206</v>
      </c>
    </row>
    <row r="23" spans="1:5" x14ac:dyDescent="0.45">
      <c r="A23" s="11" t="s">
        <v>344</v>
      </c>
      <c r="B23" s="11" t="s">
        <v>129</v>
      </c>
      <c r="C23" s="11" t="s">
        <v>14</v>
      </c>
      <c r="D23" s="11" t="s">
        <v>22</v>
      </c>
      <c r="E23" s="12">
        <v>46214</v>
      </c>
    </row>
    <row r="24" spans="1:5" x14ac:dyDescent="0.45">
      <c r="A24" s="11" t="s">
        <v>345</v>
      </c>
      <c r="B24" s="11" t="s">
        <v>132</v>
      </c>
      <c r="C24" s="11" t="s">
        <v>21</v>
      </c>
      <c r="D24" s="11" t="s">
        <v>14</v>
      </c>
      <c r="E24" s="12">
        <v>46276</v>
      </c>
    </row>
    <row r="25" spans="1:5" x14ac:dyDescent="0.45">
      <c r="A25" s="11" t="s">
        <v>346</v>
      </c>
      <c r="B25" s="11" t="s">
        <v>132</v>
      </c>
      <c r="C25" s="11" t="s">
        <v>14</v>
      </c>
      <c r="D25" s="11" t="s">
        <v>23</v>
      </c>
      <c r="E25" s="12">
        <v>46278</v>
      </c>
    </row>
    <row r="26" spans="1:5" x14ac:dyDescent="0.45">
      <c r="A26" s="11" t="s">
        <v>347</v>
      </c>
      <c r="B26" s="11" t="s">
        <v>134</v>
      </c>
      <c r="C26" s="11" t="s">
        <v>21</v>
      </c>
      <c r="D26" s="11" t="s">
        <v>14</v>
      </c>
      <c r="E26" s="12">
        <v>46181</v>
      </c>
    </row>
    <row r="27" spans="1:5" x14ac:dyDescent="0.45">
      <c r="A27" s="11" t="s">
        <v>348</v>
      </c>
      <c r="B27" s="11" t="s">
        <v>134</v>
      </c>
      <c r="C27" s="11" t="s">
        <v>14</v>
      </c>
      <c r="D27" s="11" t="s">
        <v>23</v>
      </c>
      <c r="E27" s="12">
        <v>46186</v>
      </c>
    </row>
    <row r="28" spans="1:5" x14ac:dyDescent="0.45">
      <c r="A28" s="11" t="s">
        <v>349</v>
      </c>
      <c r="B28" s="11" t="s">
        <v>134</v>
      </c>
      <c r="C28" s="11" t="s">
        <v>23</v>
      </c>
      <c r="D28" s="11" t="s">
        <v>25</v>
      </c>
      <c r="E28" s="12">
        <v>46196</v>
      </c>
    </row>
    <row r="29" spans="1:5" x14ac:dyDescent="0.45">
      <c r="A29" s="11" t="s">
        <v>350</v>
      </c>
      <c r="B29" s="11" t="s">
        <v>136</v>
      </c>
      <c r="C29" s="11" t="s">
        <v>21</v>
      </c>
      <c r="D29" s="11" t="s">
        <v>14</v>
      </c>
      <c r="E29" s="12">
        <v>46223</v>
      </c>
    </row>
    <row r="30" spans="1:5" x14ac:dyDescent="0.45">
      <c r="A30" s="11" t="s">
        <v>351</v>
      </c>
      <c r="B30" s="11" t="s">
        <v>136</v>
      </c>
      <c r="C30" s="11" t="s">
        <v>14</v>
      </c>
      <c r="D30" s="11" t="s">
        <v>24</v>
      </c>
      <c r="E30" s="12">
        <v>46231</v>
      </c>
    </row>
    <row r="31" spans="1:5" x14ac:dyDescent="0.45">
      <c r="A31" s="11" t="s">
        <v>352</v>
      </c>
      <c r="B31" s="11" t="s">
        <v>139</v>
      </c>
      <c r="C31" s="11" t="s">
        <v>21</v>
      </c>
      <c r="D31" s="11" t="s">
        <v>14</v>
      </c>
      <c r="E31" s="12">
        <v>46205</v>
      </c>
    </row>
    <row r="32" spans="1:5" x14ac:dyDescent="0.45">
      <c r="A32" s="11" t="s">
        <v>353</v>
      </c>
      <c r="B32" s="11" t="s">
        <v>141</v>
      </c>
      <c r="C32" s="11" t="s">
        <v>21</v>
      </c>
      <c r="D32" s="11" t="s">
        <v>14</v>
      </c>
      <c r="E32" s="12">
        <v>46188</v>
      </c>
    </row>
    <row r="33" spans="1:5" x14ac:dyDescent="0.45">
      <c r="A33" s="11" t="s">
        <v>354</v>
      </c>
      <c r="B33" s="11" t="s">
        <v>147</v>
      </c>
      <c r="C33" s="11" t="s">
        <v>21</v>
      </c>
      <c r="D33" s="11" t="s">
        <v>14</v>
      </c>
      <c r="E33" s="12">
        <v>46199</v>
      </c>
    </row>
    <row r="34" spans="1:5" x14ac:dyDescent="0.45">
      <c r="A34" s="11" t="s">
        <v>355</v>
      </c>
      <c r="B34" s="11" t="s">
        <v>149</v>
      </c>
      <c r="C34" s="11" t="s">
        <v>21</v>
      </c>
      <c r="D34" s="11" t="s">
        <v>23</v>
      </c>
      <c r="E34" s="12">
        <v>46228</v>
      </c>
    </row>
    <row r="35" spans="1:5" x14ac:dyDescent="0.45">
      <c r="A35" s="11" t="s">
        <v>356</v>
      </c>
      <c r="B35" s="11" t="s">
        <v>149</v>
      </c>
      <c r="C35" s="11" t="s">
        <v>23</v>
      </c>
      <c r="D35" s="11" t="s">
        <v>25</v>
      </c>
      <c r="E35" s="12">
        <v>46240</v>
      </c>
    </row>
    <row r="36" spans="1:5" x14ac:dyDescent="0.45">
      <c r="A36" s="11" t="s">
        <v>357</v>
      </c>
      <c r="B36" s="11" t="s">
        <v>153</v>
      </c>
      <c r="C36" s="11" t="s">
        <v>21</v>
      </c>
      <c r="D36" s="11" t="s">
        <v>24</v>
      </c>
      <c r="E36" s="12">
        <v>46268</v>
      </c>
    </row>
    <row r="37" spans="1:5" x14ac:dyDescent="0.45">
      <c r="A37" s="11" t="s">
        <v>358</v>
      </c>
      <c r="B37" s="11" t="s">
        <v>155</v>
      </c>
      <c r="C37" s="11" t="s">
        <v>21</v>
      </c>
      <c r="D37" s="11" t="s">
        <v>23</v>
      </c>
      <c r="E37" s="12">
        <v>46215</v>
      </c>
    </row>
    <row r="38" spans="1:5" x14ac:dyDescent="0.45">
      <c r="A38" s="11" t="s">
        <v>359</v>
      </c>
      <c r="B38" s="11" t="s">
        <v>160</v>
      </c>
      <c r="C38" s="11" t="s">
        <v>21</v>
      </c>
      <c r="D38" s="11" t="s">
        <v>14</v>
      </c>
      <c r="E38" s="12">
        <v>46239</v>
      </c>
    </row>
    <row r="39" spans="1:5" x14ac:dyDescent="0.45">
      <c r="A39" s="11" t="s">
        <v>360</v>
      </c>
      <c r="B39" s="11" t="s">
        <v>160</v>
      </c>
      <c r="C39" s="11" t="s">
        <v>14</v>
      </c>
      <c r="D39" s="11" t="s">
        <v>24</v>
      </c>
      <c r="E39" s="12">
        <v>46243</v>
      </c>
    </row>
    <row r="40" spans="1:5" x14ac:dyDescent="0.45">
      <c r="A40" s="11" t="s">
        <v>361</v>
      </c>
      <c r="B40" s="11" t="s">
        <v>162</v>
      </c>
      <c r="C40" s="11" t="s">
        <v>21</v>
      </c>
      <c r="D40" s="11" t="s">
        <v>14</v>
      </c>
      <c r="E40" s="12">
        <v>46256</v>
      </c>
    </row>
    <row r="41" spans="1:5" x14ac:dyDescent="0.45">
      <c r="A41" s="11" t="s">
        <v>362</v>
      </c>
      <c r="B41" s="11" t="s">
        <v>164</v>
      </c>
      <c r="C41" s="11" t="s">
        <v>21</v>
      </c>
      <c r="D41" s="11" t="s">
        <v>14</v>
      </c>
      <c r="E41" s="12">
        <v>46274</v>
      </c>
    </row>
    <row r="42" spans="1:5" x14ac:dyDescent="0.45">
      <c r="A42" s="11" t="s">
        <v>363</v>
      </c>
      <c r="B42" s="11" t="s">
        <v>164</v>
      </c>
      <c r="C42" s="11" t="s">
        <v>14</v>
      </c>
      <c r="D42" s="11" t="s">
        <v>24</v>
      </c>
      <c r="E42" s="12">
        <v>46278</v>
      </c>
    </row>
    <row r="43" spans="1:5" x14ac:dyDescent="0.45">
      <c r="A43" s="11" t="s">
        <v>364</v>
      </c>
      <c r="B43" s="11" t="s">
        <v>164</v>
      </c>
      <c r="C43" s="11" t="s">
        <v>24</v>
      </c>
      <c r="D43" s="11" t="s">
        <v>25</v>
      </c>
      <c r="E43" s="12">
        <v>46278</v>
      </c>
    </row>
    <row r="44" spans="1:5" x14ac:dyDescent="0.45">
      <c r="A44" s="11" t="s">
        <v>365</v>
      </c>
      <c r="B44" s="11" t="s">
        <v>166</v>
      </c>
      <c r="C44" s="11" t="s">
        <v>21</v>
      </c>
      <c r="D44" s="11" t="s">
        <v>14</v>
      </c>
      <c r="E44" s="12">
        <v>46278</v>
      </c>
    </row>
    <row r="45" spans="1:5" x14ac:dyDescent="0.45">
      <c r="A45" s="11" t="s">
        <v>366</v>
      </c>
      <c r="B45" s="11" t="s">
        <v>173</v>
      </c>
      <c r="C45" s="11" t="s">
        <v>21</v>
      </c>
      <c r="D45" s="11" t="s">
        <v>22</v>
      </c>
      <c r="E45" s="12">
        <v>46275</v>
      </c>
    </row>
    <row r="46" spans="1:5" x14ac:dyDescent="0.45">
      <c r="A46" s="11" t="s">
        <v>367</v>
      </c>
      <c r="B46" s="11" t="s">
        <v>176</v>
      </c>
      <c r="C46" s="11" t="s">
        <v>21</v>
      </c>
      <c r="D46" s="11" t="s">
        <v>14</v>
      </c>
      <c r="E46" s="12">
        <v>46278</v>
      </c>
    </row>
    <row r="47" spans="1:5" x14ac:dyDescent="0.45">
      <c r="A47" s="11" t="s">
        <v>368</v>
      </c>
      <c r="B47" s="11" t="s">
        <v>176</v>
      </c>
      <c r="C47" s="11" t="s">
        <v>14</v>
      </c>
      <c r="D47" s="11" t="s">
        <v>23</v>
      </c>
      <c r="E47" s="12">
        <v>46278</v>
      </c>
    </row>
    <row r="48" spans="1:5" x14ac:dyDescent="0.45">
      <c r="A48" s="11" t="s">
        <v>369</v>
      </c>
      <c r="B48" s="11" t="s">
        <v>179</v>
      </c>
      <c r="C48" s="11" t="s">
        <v>21</v>
      </c>
      <c r="D48" s="11" t="s">
        <v>14</v>
      </c>
      <c r="E48" s="12">
        <v>46189</v>
      </c>
    </row>
    <row r="49" spans="1:5" x14ac:dyDescent="0.45">
      <c r="A49" s="11" t="s">
        <v>370</v>
      </c>
      <c r="B49" s="11" t="s">
        <v>179</v>
      </c>
      <c r="C49" s="11" t="s">
        <v>14</v>
      </c>
      <c r="D49" s="11" t="s">
        <v>23</v>
      </c>
      <c r="E49" s="12">
        <v>46201</v>
      </c>
    </row>
    <row r="50" spans="1:5" x14ac:dyDescent="0.45">
      <c r="A50" s="11" t="s">
        <v>371</v>
      </c>
      <c r="B50" s="11" t="s">
        <v>180</v>
      </c>
      <c r="C50" s="11" t="s">
        <v>21</v>
      </c>
      <c r="D50" s="11" t="s">
        <v>14</v>
      </c>
      <c r="E50" s="12">
        <v>46278</v>
      </c>
    </row>
    <row r="51" spans="1:5" x14ac:dyDescent="0.45">
      <c r="A51" s="11" t="s">
        <v>372</v>
      </c>
      <c r="B51" s="11" t="s">
        <v>180</v>
      </c>
      <c r="C51" s="11" t="s">
        <v>14</v>
      </c>
      <c r="D51" s="11" t="s">
        <v>24</v>
      </c>
      <c r="E51" s="12">
        <v>46278</v>
      </c>
    </row>
    <row r="52" spans="1:5" x14ac:dyDescent="0.45">
      <c r="A52" s="11" t="s">
        <v>373</v>
      </c>
      <c r="B52" s="11" t="s">
        <v>183</v>
      </c>
      <c r="C52" s="11" t="s">
        <v>21</v>
      </c>
      <c r="D52" s="11" t="s">
        <v>14</v>
      </c>
      <c r="E52" s="12">
        <v>46182</v>
      </c>
    </row>
    <row r="53" spans="1:5" x14ac:dyDescent="0.45">
      <c r="A53" s="11" t="s">
        <v>374</v>
      </c>
      <c r="B53" s="11" t="s">
        <v>183</v>
      </c>
      <c r="C53" s="11" t="s">
        <v>14</v>
      </c>
      <c r="D53" s="11" t="s">
        <v>22</v>
      </c>
      <c r="E53" s="12">
        <v>46187</v>
      </c>
    </row>
    <row r="54" spans="1:5" x14ac:dyDescent="0.45">
      <c r="A54" s="11" t="s">
        <v>375</v>
      </c>
      <c r="B54" s="11" t="s">
        <v>186</v>
      </c>
      <c r="C54" s="11" t="s">
        <v>21</v>
      </c>
      <c r="D54" s="11" t="s">
        <v>24</v>
      </c>
      <c r="E54" s="12">
        <v>46236</v>
      </c>
    </row>
    <row r="55" spans="1:5" x14ac:dyDescent="0.45">
      <c r="A55" s="11" t="s">
        <v>376</v>
      </c>
      <c r="B55" s="11" t="s">
        <v>186</v>
      </c>
      <c r="C55" s="11" t="s">
        <v>24</v>
      </c>
      <c r="D55" s="11" t="s">
        <v>25</v>
      </c>
      <c r="E55" s="12">
        <v>46242</v>
      </c>
    </row>
    <row r="56" spans="1:5" x14ac:dyDescent="0.45">
      <c r="A56" s="11" t="s">
        <v>377</v>
      </c>
      <c r="B56" s="11" t="s">
        <v>188</v>
      </c>
      <c r="C56" s="11" t="s">
        <v>21</v>
      </c>
      <c r="D56" s="11" t="s">
        <v>23</v>
      </c>
      <c r="E56" s="12">
        <v>46250</v>
      </c>
    </row>
    <row r="57" spans="1:5" x14ac:dyDescent="0.45">
      <c r="A57" s="11" t="s">
        <v>378</v>
      </c>
      <c r="B57" s="11" t="s">
        <v>190</v>
      </c>
      <c r="C57" s="11" t="s">
        <v>21</v>
      </c>
      <c r="D57" s="11" t="s">
        <v>14</v>
      </c>
      <c r="E57" s="12">
        <v>46230</v>
      </c>
    </row>
    <row r="58" spans="1:5" x14ac:dyDescent="0.45">
      <c r="A58" s="11" t="s">
        <v>379</v>
      </c>
      <c r="B58" s="11" t="s">
        <v>190</v>
      </c>
      <c r="C58" s="11" t="s">
        <v>14</v>
      </c>
      <c r="D58" s="11" t="s">
        <v>24</v>
      </c>
      <c r="E58" s="12">
        <v>46235</v>
      </c>
    </row>
    <row r="59" spans="1:5" x14ac:dyDescent="0.45">
      <c r="A59" s="11" t="s">
        <v>380</v>
      </c>
      <c r="B59" s="11" t="s">
        <v>190</v>
      </c>
      <c r="C59" s="11" t="s">
        <v>24</v>
      </c>
      <c r="D59" s="11" t="s">
        <v>25</v>
      </c>
      <c r="E59" s="12">
        <v>46244</v>
      </c>
    </row>
    <row r="60" spans="1:5" x14ac:dyDescent="0.45">
      <c r="A60" s="11" t="s">
        <v>381</v>
      </c>
      <c r="B60" s="11" t="s">
        <v>196</v>
      </c>
      <c r="C60" s="11" t="s">
        <v>21</v>
      </c>
      <c r="D60" s="11" t="s">
        <v>14</v>
      </c>
      <c r="E60" s="12">
        <v>46248</v>
      </c>
    </row>
    <row r="61" spans="1:5" x14ac:dyDescent="0.45">
      <c r="A61" s="11" t="s">
        <v>382</v>
      </c>
      <c r="B61" s="11" t="s">
        <v>199</v>
      </c>
      <c r="C61" s="11" t="s">
        <v>21</v>
      </c>
      <c r="D61" s="11" t="s">
        <v>14</v>
      </c>
      <c r="E61" s="12">
        <v>46225</v>
      </c>
    </row>
    <row r="62" spans="1:5" x14ac:dyDescent="0.45">
      <c r="A62" s="11" t="s">
        <v>383</v>
      </c>
      <c r="B62" s="11" t="s">
        <v>201</v>
      </c>
      <c r="C62" s="11" t="s">
        <v>21</v>
      </c>
      <c r="D62" s="11" t="s">
        <v>14</v>
      </c>
      <c r="E62" s="12">
        <v>46278</v>
      </c>
    </row>
    <row r="63" spans="1:5" x14ac:dyDescent="0.45">
      <c r="A63" s="11" t="s">
        <v>384</v>
      </c>
      <c r="B63" s="11" t="s">
        <v>202</v>
      </c>
      <c r="C63" s="11" t="s">
        <v>21</v>
      </c>
      <c r="D63" s="11" t="s">
        <v>14</v>
      </c>
      <c r="E63" s="12">
        <v>46193</v>
      </c>
    </row>
    <row r="64" spans="1:5" x14ac:dyDescent="0.45">
      <c r="A64" s="11" t="s">
        <v>385</v>
      </c>
      <c r="B64" s="11" t="s">
        <v>202</v>
      </c>
      <c r="C64" s="11" t="s">
        <v>14</v>
      </c>
      <c r="D64" s="11" t="s">
        <v>22</v>
      </c>
      <c r="E64" s="12">
        <v>46204</v>
      </c>
    </row>
    <row r="65" spans="1:5" x14ac:dyDescent="0.45">
      <c r="A65" s="11" t="s">
        <v>386</v>
      </c>
      <c r="B65" s="11" t="s">
        <v>206</v>
      </c>
      <c r="C65" s="11" t="s">
        <v>21</v>
      </c>
      <c r="D65" s="11" t="s">
        <v>23</v>
      </c>
      <c r="E65" s="12">
        <v>46214</v>
      </c>
    </row>
    <row r="66" spans="1:5" x14ac:dyDescent="0.45">
      <c r="A66" s="11" t="s">
        <v>387</v>
      </c>
      <c r="B66" s="11" t="s">
        <v>207</v>
      </c>
      <c r="C66" s="11" t="s">
        <v>21</v>
      </c>
      <c r="D66" s="11" t="s">
        <v>14</v>
      </c>
      <c r="E66" s="12">
        <v>46256</v>
      </c>
    </row>
    <row r="67" spans="1:5" x14ac:dyDescent="0.45">
      <c r="A67" s="11" t="s">
        <v>388</v>
      </c>
      <c r="B67" s="11" t="s">
        <v>207</v>
      </c>
      <c r="C67" s="11" t="s">
        <v>14</v>
      </c>
      <c r="D67" s="11" t="s">
        <v>23</v>
      </c>
      <c r="E67" s="12">
        <v>46268</v>
      </c>
    </row>
    <row r="68" spans="1:5" x14ac:dyDescent="0.45">
      <c r="A68" s="11" t="s">
        <v>389</v>
      </c>
      <c r="B68" s="11" t="s">
        <v>208</v>
      </c>
      <c r="C68" s="11" t="s">
        <v>21</v>
      </c>
      <c r="D68" s="11" t="s">
        <v>23</v>
      </c>
      <c r="E68" s="12">
        <v>46192</v>
      </c>
    </row>
    <row r="69" spans="1:5" x14ac:dyDescent="0.45">
      <c r="A69" s="11" t="s">
        <v>390</v>
      </c>
      <c r="B69" s="11" t="s">
        <v>213</v>
      </c>
      <c r="C69" s="11" t="s">
        <v>21</v>
      </c>
      <c r="D69" s="11" t="s">
        <v>14</v>
      </c>
      <c r="E69" s="12">
        <v>46202</v>
      </c>
    </row>
    <row r="70" spans="1:5" x14ac:dyDescent="0.45">
      <c r="A70" s="11" t="s">
        <v>391</v>
      </c>
      <c r="B70" s="11" t="s">
        <v>214</v>
      </c>
      <c r="C70" s="11" t="s">
        <v>21</v>
      </c>
      <c r="D70" s="11" t="s">
        <v>14</v>
      </c>
      <c r="E70" s="12">
        <v>46271</v>
      </c>
    </row>
    <row r="71" spans="1:5" x14ac:dyDescent="0.45">
      <c r="A71" s="11" t="s">
        <v>392</v>
      </c>
      <c r="B71" s="11" t="s">
        <v>214</v>
      </c>
      <c r="C71" s="11" t="s">
        <v>14</v>
      </c>
      <c r="D71" s="11" t="s">
        <v>23</v>
      </c>
      <c r="E71" s="12">
        <v>46275</v>
      </c>
    </row>
    <row r="72" spans="1:5" x14ac:dyDescent="0.45">
      <c r="A72" s="11" t="s">
        <v>393</v>
      </c>
      <c r="B72" s="11" t="s">
        <v>214</v>
      </c>
      <c r="C72" s="11" t="s">
        <v>23</v>
      </c>
      <c r="D72" s="11" t="s">
        <v>25</v>
      </c>
      <c r="E72" s="12">
        <v>46278</v>
      </c>
    </row>
    <row r="73" spans="1:5" x14ac:dyDescent="0.45">
      <c r="A73" s="11" t="s">
        <v>394</v>
      </c>
      <c r="B73" s="11" t="s">
        <v>215</v>
      </c>
      <c r="C73" s="11" t="s">
        <v>21</v>
      </c>
      <c r="D73" s="11" t="s">
        <v>14</v>
      </c>
      <c r="E73" s="12">
        <v>46194</v>
      </c>
    </row>
    <row r="74" spans="1:5" x14ac:dyDescent="0.45">
      <c r="A74" s="11" t="s">
        <v>395</v>
      </c>
      <c r="B74" s="11" t="s">
        <v>215</v>
      </c>
      <c r="C74" s="11" t="s">
        <v>14</v>
      </c>
      <c r="D74" s="11" t="s">
        <v>22</v>
      </c>
      <c r="E74" s="12">
        <v>46202</v>
      </c>
    </row>
    <row r="75" spans="1:5" x14ac:dyDescent="0.45">
      <c r="A75" s="11" t="s">
        <v>396</v>
      </c>
      <c r="B75" s="11" t="s">
        <v>222</v>
      </c>
      <c r="C75" s="11" t="s">
        <v>21</v>
      </c>
      <c r="D75" s="11" t="s">
        <v>23</v>
      </c>
      <c r="E75" s="12">
        <v>46251</v>
      </c>
    </row>
    <row r="76" spans="1:5" x14ac:dyDescent="0.45">
      <c r="A76" s="11" t="s">
        <v>397</v>
      </c>
      <c r="B76" s="11" t="s">
        <v>225</v>
      </c>
      <c r="C76" s="11" t="s">
        <v>21</v>
      </c>
      <c r="D76" s="11" t="s">
        <v>14</v>
      </c>
      <c r="E76" s="12">
        <v>46194</v>
      </c>
    </row>
    <row r="77" spans="1:5" x14ac:dyDescent="0.45">
      <c r="A77" s="11" t="s">
        <v>398</v>
      </c>
      <c r="B77" s="11" t="s">
        <v>227</v>
      </c>
      <c r="C77" s="11" t="s">
        <v>21</v>
      </c>
      <c r="D77" s="11" t="s">
        <v>23</v>
      </c>
      <c r="E77" s="12">
        <v>46191</v>
      </c>
    </row>
    <row r="78" spans="1:5" x14ac:dyDescent="0.45">
      <c r="A78" s="11" t="s">
        <v>399</v>
      </c>
      <c r="B78" s="11" t="s">
        <v>231</v>
      </c>
      <c r="C78" s="11" t="s">
        <v>21</v>
      </c>
      <c r="D78" s="11" t="s">
        <v>14</v>
      </c>
      <c r="E78" s="12">
        <v>46258</v>
      </c>
    </row>
    <row r="79" spans="1:5" x14ac:dyDescent="0.45">
      <c r="A79" s="11" t="s">
        <v>400</v>
      </c>
      <c r="B79" s="11" t="s">
        <v>231</v>
      </c>
      <c r="C79" s="11" t="s">
        <v>14</v>
      </c>
      <c r="D79" s="11" t="s">
        <v>23</v>
      </c>
      <c r="E79" s="12">
        <v>46263</v>
      </c>
    </row>
    <row r="80" spans="1:5" x14ac:dyDescent="0.45">
      <c r="A80" s="11" t="s">
        <v>401</v>
      </c>
      <c r="B80" s="11" t="s">
        <v>233</v>
      </c>
      <c r="C80" s="11" t="s">
        <v>21</v>
      </c>
      <c r="D80" s="11" t="s">
        <v>14</v>
      </c>
      <c r="E80" s="12">
        <v>46229</v>
      </c>
    </row>
    <row r="81" spans="1:5" x14ac:dyDescent="0.45">
      <c r="A81" s="11" t="s">
        <v>402</v>
      </c>
      <c r="B81" s="11" t="s">
        <v>235</v>
      </c>
      <c r="C81" s="11" t="s">
        <v>21</v>
      </c>
      <c r="D81" s="11" t="s">
        <v>23</v>
      </c>
      <c r="E81" s="12">
        <v>46240</v>
      </c>
    </row>
    <row r="82" spans="1:5" x14ac:dyDescent="0.45">
      <c r="A82" s="11" t="s">
        <v>403</v>
      </c>
      <c r="B82" s="11" t="s">
        <v>238</v>
      </c>
      <c r="C82" s="11" t="s">
        <v>21</v>
      </c>
      <c r="D82" s="11" t="s">
        <v>14</v>
      </c>
      <c r="E82" s="12">
        <v>46262</v>
      </c>
    </row>
    <row r="83" spans="1:5" x14ac:dyDescent="0.45">
      <c r="A83" s="11" t="s">
        <v>404</v>
      </c>
      <c r="B83" s="11" t="s">
        <v>243</v>
      </c>
      <c r="C83" s="11" t="s">
        <v>21</v>
      </c>
      <c r="D83" s="11" t="s">
        <v>14</v>
      </c>
      <c r="E83" s="12">
        <v>46193</v>
      </c>
    </row>
    <row r="84" spans="1:5" x14ac:dyDescent="0.45">
      <c r="A84" s="11" t="s">
        <v>405</v>
      </c>
      <c r="B84" s="11" t="s">
        <v>243</v>
      </c>
      <c r="C84" s="11" t="s">
        <v>14</v>
      </c>
      <c r="D84" s="11" t="s">
        <v>23</v>
      </c>
      <c r="E84" s="12">
        <v>46205</v>
      </c>
    </row>
    <row r="85" spans="1:5" x14ac:dyDescent="0.45">
      <c r="A85" s="11" t="s">
        <v>406</v>
      </c>
      <c r="B85" s="11" t="s">
        <v>244</v>
      </c>
      <c r="C85" s="11" t="s">
        <v>21</v>
      </c>
      <c r="D85" s="11" t="s">
        <v>14</v>
      </c>
      <c r="E85" s="12">
        <v>46264</v>
      </c>
    </row>
    <row r="86" spans="1:5" x14ac:dyDescent="0.45">
      <c r="A86" s="11" t="s">
        <v>407</v>
      </c>
      <c r="B86" s="11" t="s">
        <v>244</v>
      </c>
      <c r="C86" s="11" t="s">
        <v>14</v>
      </c>
      <c r="D86" s="11" t="s">
        <v>24</v>
      </c>
      <c r="E86" s="12">
        <v>46274</v>
      </c>
    </row>
    <row r="87" spans="1:5" x14ac:dyDescent="0.45">
      <c r="A87" s="11" t="s">
        <v>408</v>
      </c>
      <c r="B87" s="11" t="s">
        <v>247</v>
      </c>
      <c r="C87" s="11" t="s">
        <v>21</v>
      </c>
      <c r="D87" s="11" t="s">
        <v>14</v>
      </c>
      <c r="E87" s="12">
        <v>46264</v>
      </c>
    </row>
    <row r="88" spans="1:5" x14ac:dyDescent="0.45">
      <c r="A88" s="11" t="s">
        <v>409</v>
      </c>
      <c r="B88" s="11" t="s">
        <v>247</v>
      </c>
      <c r="C88" s="11" t="s">
        <v>14</v>
      </c>
      <c r="D88" s="11" t="s">
        <v>24</v>
      </c>
      <c r="E88" s="12">
        <v>46276</v>
      </c>
    </row>
    <row r="89" spans="1:5" x14ac:dyDescent="0.45">
      <c r="A89" s="11" t="s">
        <v>410</v>
      </c>
      <c r="B89" s="11" t="s">
        <v>248</v>
      </c>
      <c r="C89" s="11" t="s">
        <v>21</v>
      </c>
      <c r="D89" s="11" t="s">
        <v>22</v>
      </c>
      <c r="E89" s="12">
        <v>46257</v>
      </c>
    </row>
    <row r="90" spans="1:5" x14ac:dyDescent="0.45">
      <c r="A90" s="11" t="s">
        <v>411</v>
      </c>
      <c r="B90" s="11" t="s">
        <v>253</v>
      </c>
      <c r="C90" s="11" t="s">
        <v>21</v>
      </c>
      <c r="D90" s="11" t="s">
        <v>14</v>
      </c>
      <c r="E90" s="12">
        <v>46278</v>
      </c>
    </row>
    <row r="91" spans="1:5" x14ac:dyDescent="0.45">
      <c r="A91" s="11" t="s">
        <v>412</v>
      </c>
      <c r="B91" s="11" t="s">
        <v>253</v>
      </c>
      <c r="C91" s="11" t="s">
        <v>14</v>
      </c>
      <c r="D91" s="11" t="s">
        <v>24</v>
      </c>
      <c r="E91" s="12">
        <v>46278</v>
      </c>
    </row>
    <row r="92" spans="1:5" x14ac:dyDescent="0.45">
      <c r="A92" s="11" t="s">
        <v>413</v>
      </c>
      <c r="B92" s="11" t="s">
        <v>253</v>
      </c>
      <c r="C92" s="11" t="s">
        <v>24</v>
      </c>
      <c r="D92" s="11" t="s">
        <v>25</v>
      </c>
      <c r="E92" s="12">
        <v>46278</v>
      </c>
    </row>
    <row r="93" spans="1:5" x14ac:dyDescent="0.45">
      <c r="A93" s="11" t="s">
        <v>414</v>
      </c>
      <c r="B93" s="11" t="s">
        <v>258</v>
      </c>
      <c r="C93" s="11" t="s">
        <v>21</v>
      </c>
      <c r="D93" s="11" t="s">
        <v>14</v>
      </c>
      <c r="E93" s="12">
        <v>46262</v>
      </c>
    </row>
    <row r="94" spans="1:5" x14ac:dyDescent="0.45">
      <c r="A94" s="11" t="s">
        <v>415</v>
      </c>
      <c r="B94" s="11" t="s">
        <v>258</v>
      </c>
      <c r="C94" s="11" t="s">
        <v>14</v>
      </c>
      <c r="D94" s="11" t="s">
        <v>22</v>
      </c>
      <c r="E94" s="12">
        <v>46269</v>
      </c>
    </row>
    <row r="95" spans="1:5" x14ac:dyDescent="0.45">
      <c r="A95" s="11" t="s">
        <v>416</v>
      </c>
      <c r="B95" s="11" t="s">
        <v>258</v>
      </c>
      <c r="C95" s="11" t="s">
        <v>22</v>
      </c>
      <c r="D95" s="11" t="s">
        <v>25</v>
      </c>
      <c r="E95" s="12">
        <v>46278</v>
      </c>
    </row>
    <row r="96" spans="1:5" x14ac:dyDescent="0.45">
      <c r="A96" s="11" t="s">
        <v>417</v>
      </c>
      <c r="B96" s="11" t="s">
        <v>261</v>
      </c>
      <c r="C96" s="11" t="s">
        <v>21</v>
      </c>
      <c r="D96" s="11" t="s">
        <v>14</v>
      </c>
      <c r="E96" s="12">
        <v>46232</v>
      </c>
    </row>
    <row r="97" spans="1:5" x14ac:dyDescent="0.45">
      <c r="A97" s="11" t="s">
        <v>418</v>
      </c>
      <c r="B97" s="11" t="s">
        <v>261</v>
      </c>
      <c r="C97" s="11" t="s">
        <v>14</v>
      </c>
      <c r="D97" s="11" t="s">
        <v>23</v>
      </c>
      <c r="E97" s="12">
        <v>46241</v>
      </c>
    </row>
    <row r="98" spans="1:5" x14ac:dyDescent="0.45">
      <c r="A98" s="11" t="s">
        <v>419</v>
      </c>
      <c r="B98" s="11" t="s">
        <v>262</v>
      </c>
      <c r="C98" s="11" t="s">
        <v>21</v>
      </c>
      <c r="D98" s="11" t="s">
        <v>24</v>
      </c>
      <c r="E98" s="12">
        <v>46194</v>
      </c>
    </row>
    <row r="99" spans="1:5" x14ac:dyDescent="0.45">
      <c r="A99" s="11" t="s">
        <v>420</v>
      </c>
      <c r="B99" s="11" t="s">
        <v>262</v>
      </c>
      <c r="C99" s="11" t="s">
        <v>24</v>
      </c>
      <c r="D99" s="11" t="s">
        <v>25</v>
      </c>
      <c r="E99" s="12">
        <v>46197</v>
      </c>
    </row>
    <row r="100" spans="1:5" x14ac:dyDescent="0.45">
      <c r="A100" s="11" t="s">
        <v>421</v>
      </c>
      <c r="B100" s="11" t="s">
        <v>264</v>
      </c>
      <c r="C100" s="11" t="s">
        <v>21</v>
      </c>
      <c r="D100" s="11" t="s">
        <v>23</v>
      </c>
      <c r="E100" s="12">
        <v>46184</v>
      </c>
    </row>
    <row r="101" spans="1:5" x14ac:dyDescent="0.45">
      <c r="A101" s="11" t="s">
        <v>422</v>
      </c>
      <c r="B101" s="11" t="s">
        <v>269</v>
      </c>
      <c r="C101" s="11" t="s">
        <v>21</v>
      </c>
      <c r="D101" s="11" t="s">
        <v>14</v>
      </c>
      <c r="E101" s="12">
        <v>46206</v>
      </c>
    </row>
    <row r="102" spans="1:5" x14ac:dyDescent="0.45">
      <c r="A102" s="11" t="s">
        <v>423</v>
      </c>
      <c r="B102" s="11" t="s">
        <v>269</v>
      </c>
      <c r="C102" s="11" t="s">
        <v>14</v>
      </c>
      <c r="D102" s="11" t="s">
        <v>22</v>
      </c>
      <c r="E102" s="12">
        <v>46218</v>
      </c>
    </row>
    <row r="103" spans="1:5" x14ac:dyDescent="0.45">
      <c r="A103" s="11" t="s">
        <v>424</v>
      </c>
      <c r="B103" s="11" t="s">
        <v>269</v>
      </c>
      <c r="C103" s="11" t="s">
        <v>22</v>
      </c>
      <c r="D103" s="11" t="s">
        <v>25</v>
      </c>
      <c r="E103" s="12">
        <v>46221</v>
      </c>
    </row>
    <row r="104" spans="1:5" x14ac:dyDescent="0.45">
      <c r="A104" s="11" t="s">
        <v>425</v>
      </c>
      <c r="B104" s="11" t="s">
        <v>271</v>
      </c>
      <c r="C104" s="11" t="s">
        <v>21</v>
      </c>
      <c r="D104" s="11" t="s">
        <v>14</v>
      </c>
      <c r="E104" s="12">
        <v>46218</v>
      </c>
    </row>
    <row r="105" spans="1:5" x14ac:dyDescent="0.45">
      <c r="A105" s="11" t="s">
        <v>426</v>
      </c>
      <c r="B105" s="11" t="s">
        <v>274</v>
      </c>
      <c r="C105" s="11" t="s">
        <v>21</v>
      </c>
      <c r="D105" s="11" t="s">
        <v>23</v>
      </c>
      <c r="E105" s="12">
        <v>46215</v>
      </c>
    </row>
    <row r="106" spans="1:5" x14ac:dyDescent="0.45">
      <c r="A106" s="11" t="s">
        <v>427</v>
      </c>
      <c r="B106" s="11" t="s">
        <v>276</v>
      </c>
      <c r="C106" s="11" t="s">
        <v>21</v>
      </c>
      <c r="D106" s="11" t="s">
        <v>24</v>
      </c>
      <c r="E106" s="12">
        <v>46220</v>
      </c>
    </row>
    <row r="107" spans="1:5" x14ac:dyDescent="0.45">
      <c r="A107" s="11" t="s">
        <v>428</v>
      </c>
      <c r="B107" s="11" t="s">
        <v>276</v>
      </c>
      <c r="C107" s="11" t="s">
        <v>24</v>
      </c>
      <c r="D107" s="11" t="s">
        <v>25</v>
      </c>
      <c r="E107" s="12">
        <v>46227</v>
      </c>
    </row>
    <row r="108" spans="1:5" x14ac:dyDescent="0.45">
      <c r="A108" s="11" t="s">
        <v>429</v>
      </c>
      <c r="B108" s="11" t="s">
        <v>277</v>
      </c>
      <c r="C108" s="11" t="s">
        <v>21</v>
      </c>
      <c r="D108" s="11" t="s">
        <v>14</v>
      </c>
      <c r="E108" s="12">
        <v>46242</v>
      </c>
    </row>
    <row r="109" spans="1:5" x14ac:dyDescent="0.45">
      <c r="A109" s="11" t="s">
        <v>430</v>
      </c>
      <c r="B109" s="11" t="s">
        <v>277</v>
      </c>
      <c r="C109" s="11" t="s">
        <v>14</v>
      </c>
      <c r="D109" s="11" t="s">
        <v>24</v>
      </c>
      <c r="E109" s="12">
        <v>46246</v>
      </c>
    </row>
    <row r="110" spans="1:5" x14ac:dyDescent="0.45">
      <c r="A110" s="11" t="s">
        <v>431</v>
      </c>
      <c r="B110" s="11" t="s">
        <v>278</v>
      </c>
      <c r="C110" s="11" t="s">
        <v>21</v>
      </c>
      <c r="D110" s="11" t="s">
        <v>23</v>
      </c>
      <c r="E110" s="12">
        <v>46221</v>
      </c>
    </row>
    <row r="111" spans="1:5" x14ac:dyDescent="0.45">
      <c r="A111" s="11" t="s">
        <v>432</v>
      </c>
      <c r="B111" s="11" t="s">
        <v>281</v>
      </c>
      <c r="C111" s="11" t="s">
        <v>21</v>
      </c>
      <c r="D111" s="11" t="s">
        <v>14</v>
      </c>
      <c r="E111" s="12">
        <v>46201</v>
      </c>
    </row>
    <row r="112" spans="1:5" x14ac:dyDescent="0.45">
      <c r="A112" s="11" t="s">
        <v>433</v>
      </c>
      <c r="B112" s="11" t="s">
        <v>283</v>
      </c>
      <c r="C112" s="11" t="s">
        <v>21</v>
      </c>
      <c r="D112" s="11" t="s">
        <v>14</v>
      </c>
      <c r="E112" s="12">
        <v>46268</v>
      </c>
    </row>
    <row r="113" spans="1:5" x14ac:dyDescent="0.45">
      <c r="A113" s="11" t="s">
        <v>434</v>
      </c>
      <c r="B113" s="11" t="s">
        <v>286</v>
      </c>
      <c r="C113" s="11" t="s">
        <v>21</v>
      </c>
      <c r="D113" s="11" t="s">
        <v>14</v>
      </c>
      <c r="E113" s="12">
        <v>46272</v>
      </c>
    </row>
    <row r="114" spans="1:5" x14ac:dyDescent="0.45">
      <c r="A114" s="11" t="s">
        <v>435</v>
      </c>
      <c r="B114" s="11" t="s">
        <v>286</v>
      </c>
      <c r="C114" s="11" t="s">
        <v>14</v>
      </c>
      <c r="D114" s="11" t="s">
        <v>24</v>
      </c>
      <c r="E114" s="12">
        <v>46278</v>
      </c>
    </row>
    <row r="115" spans="1:5" x14ac:dyDescent="0.45">
      <c r="A115" s="11" t="s">
        <v>436</v>
      </c>
      <c r="B115" s="11" t="s">
        <v>286</v>
      </c>
      <c r="C115" s="11" t="s">
        <v>24</v>
      </c>
      <c r="D115" s="11" t="s">
        <v>25</v>
      </c>
      <c r="E115" s="12">
        <v>46278</v>
      </c>
    </row>
    <row r="116" spans="1:5" x14ac:dyDescent="0.45">
      <c r="A116" s="11" t="s">
        <v>437</v>
      </c>
      <c r="B116" s="11" t="s">
        <v>288</v>
      </c>
      <c r="C116" s="11" t="s">
        <v>21</v>
      </c>
      <c r="D116" s="11" t="s">
        <v>23</v>
      </c>
      <c r="E116" s="12">
        <v>46239</v>
      </c>
    </row>
    <row r="117" spans="1:5" x14ac:dyDescent="0.45">
      <c r="A117" s="11" t="s">
        <v>438</v>
      </c>
      <c r="B117" s="11" t="s">
        <v>288</v>
      </c>
      <c r="C117" s="11" t="s">
        <v>23</v>
      </c>
      <c r="D117" s="11" t="s">
        <v>25</v>
      </c>
      <c r="E117" s="12">
        <v>46247</v>
      </c>
    </row>
    <row r="118" spans="1:5" x14ac:dyDescent="0.45">
      <c r="A118" s="11" t="s">
        <v>439</v>
      </c>
      <c r="B118" s="11" t="s">
        <v>291</v>
      </c>
      <c r="C118" s="11" t="s">
        <v>21</v>
      </c>
      <c r="D118" s="11" t="s">
        <v>23</v>
      </c>
      <c r="E118" s="12">
        <v>46200</v>
      </c>
    </row>
    <row r="119" spans="1:5" x14ac:dyDescent="0.45">
      <c r="A119" s="11" t="s">
        <v>440</v>
      </c>
      <c r="B119" s="11" t="s">
        <v>295</v>
      </c>
      <c r="C119" s="11" t="s">
        <v>21</v>
      </c>
      <c r="D119" s="11" t="s">
        <v>24</v>
      </c>
      <c r="E119" s="12">
        <v>46206</v>
      </c>
    </row>
    <row r="120" spans="1:5" x14ac:dyDescent="0.45">
      <c r="A120" s="11" t="s">
        <v>441</v>
      </c>
      <c r="B120" s="11" t="s">
        <v>299</v>
      </c>
      <c r="C120" s="11" t="s">
        <v>21</v>
      </c>
      <c r="D120" s="11" t="s">
        <v>23</v>
      </c>
      <c r="E120" s="12">
        <v>46180</v>
      </c>
    </row>
    <row r="121" spans="1:5" x14ac:dyDescent="0.45">
      <c r="A121" s="11" t="s">
        <v>442</v>
      </c>
      <c r="B121" s="11" t="s">
        <v>300</v>
      </c>
      <c r="C121" s="11" t="s">
        <v>21</v>
      </c>
      <c r="D121" s="11" t="s">
        <v>23</v>
      </c>
      <c r="E121" s="12">
        <v>46188</v>
      </c>
    </row>
    <row r="122" spans="1:5" x14ac:dyDescent="0.45">
      <c r="A122" s="11" t="s">
        <v>443</v>
      </c>
      <c r="B122" s="11" t="s">
        <v>300</v>
      </c>
      <c r="C122" s="11" t="s">
        <v>23</v>
      </c>
      <c r="D122" s="11" t="s">
        <v>25</v>
      </c>
      <c r="E122" s="12">
        <v>46198</v>
      </c>
    </row>
    <row r="123" spans="1:5" x14ac:dyDescent="0.45">
      <c r="A123" s="11" t="s">
        <v>444</v>
      </c>
      <c r="B123" s="11" t="s">
        <v>305</v>
      </c>
      <c r="C123" s="11" t="s">
        <v>21</v>
      </c>
      <c r="D123" s="11" t="s">
        <v>14</v>
      </c>
      <c r="E123" s="12">
        <v>46208</v>
      </c>
    </row>
    <row r="124" spans="1:5" x14ac:dyDescent="0.45">
      <c r="A124" s="11" t="s">
        <v>445</v>
      </c>
      <c r="B124" s="11" t="s">
        <v>308</v>
      </c>
      <c r="C124" s="11" t="s">
        <v>21</v>
      </c>
      <c r="D124" s="11" t="s">
        <v>14</v>
      </c>
      <c r="E124" s="12">
        <v>46268</v>
      </c>
    </row>
    <row r="125" spans="1:5" x14ac:dyDescent="0.45">
      <c r="A125" s="11" t="s">
        <v>446</v>
      </c>
      <c r="B125" s="11" t="s">
        <v>310</v>
      </c>
      <c r="C125" s="11" t="s">
        <v>21</v>
      </c>
      <c r="D125" s="11" t="s">
        <v>14</v>
      </c>
      <c r="E125" s="12">
        <v>46230</v>
      </c>
    </row>
    <row r="126" spans="1:5" x14ac:dyDescent="0.45">
      <c r="A126" s="11" t="s">
        <v>447</v>
      </c>
      <c r="B126" s="11" t="s">
        <v>312</v>
      </c>
      <c r="C126" s="11" t="s">
        <v>21</v>
      </c>
      <c r="D126" s="11" t="s">
        <v>14</v>
      </c>
      <c r="E126" s="12">
        <v>46239</v>
      </c>
    </row>
    <row r="127" spans="1:5" x14ac:dyDescent="0.45">
      <c r="A127" s="11" t="s">
        <v>448</v>
      </c>
      <c r="B127" s="11" t="s">
        <v>312</v>
      </c>
      <c r="C127" s="11" t="s">
        <v>14</v>
      </c>
      <c r="D127" s="11" t="s">
        <v>24</v>
      </c>
      <c r="E127" s="12">
        <v>46251</v>
      </c>
    </row>
    <row r="128" spans="1:5" x14ac:dyDescent="0.45">
      <c r="A128" s="11" t="s">
        <v>449</v>
      </c>
      <c r="B128" s="11" t="s">
        <v>312</v>
      </c>
      <c r="C128" s="11" t="s">
        <v>24</v>
      </c>
      <c r="D128" s="11" t="s">
        <v>25</v>
      </c>
      <c r="E128" s="12">
        <v>46261</v>
      </c>
    </row>
    <row r="129" spans="1:5" x14ac:dyDescent="0.45">
      <c r="A129" s="11" t="s">
        <v>450</v>
      </c>
      <c r="B129" s="11" t="s">
        <v>318</v>
      </c>
      <c r="C129" s="11" t="s">
        <v>21</v>
      </c>
      <c r="D129" s="11" t="s">
        <v>14</v>
      </c>
      <c r="E129" s="12">
        <v>46194</v>
      </c>
    </row>
    <row r="130" spans="1:5" x14ac:dyDescent="0.45">
      <c r="A130" s="11" t="s">
        <v>451</v>
      </c>
      <c r="B130" s="11" t="s">
        <v>318</v>
      </c>
      <c r="C130" s="11" t="s">
        <v>14</v>
      </c>
      <c r="D130" s="11" t="s">
        <v>24</v>
      </c>
      <c r="E130" s="12">
        <v>46201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12" customWidth="1"/>
    <col min="4" max="4" width="24" customWidth="1"/>
    <col min="5" max="5" width="55" customWidth="1"/>
  </cols>
  <sheetData>
    <row r="1" spans="1:5" ht="30" customHeight="1" x14ac:dyDescent="0.45">
      <c r="A1" s="10" t="s">
        <v>452</v>
      </c>
      <c r="B1" s="10" t="s">
        <v>66</v>
      </c>
      <c r="C1" s="10" t="s">
        <v>453</v>
      </c>
      <c r="D1" s="10" t="s">
        <v>454</v>
      </c>
      <c r="E1" s="10" t="s">
        <v>455</v>
      </c>
    </row>
    <row r="2" spans="1:5" x14ac:dyDescent="0.45">
      <c r="A2" s="11" t="s">
        <v>456</v>
      </c>
      <c r="B2" s="11" t="s">
        <v>73</v>
      </c>
      <c r="C2" s="11" t="s">
        <v>457</v>
      </c>
      <c r="D2" s="11" t="s">
        <v>458</v>
      </c>
      <c r="E2" s="11" t="s">
        <v>459</v>
      </c>
    </row>
    <row r="3" spans="1:5" x14ac:dyDescent="0.45">
      <c r="A3" s="11" t="s">
        <v>460</v>
      </c>
      <c r="B3" s="11" t="s">
        <v>73</v>
      </c>
      <c r="C3" s="11" t="s">
        <v>461</v>
      </c>
      <c r="D3" s="11" t="s">
        <v>462</v>
      </c>
      <c r="E3" s="11" t="s">
        <v>463</v>
      </c>
    </row>
    <row r="4" spans="1:5" x14ac:dyDescent="0.45">
      <c r="A4" s="11" t="s">
        <v>464</v>
      </c>
      <c r="B4" s="11" t="s">
        <v>76</v>
      </c>
      <c r="C4" s="11" t="s">
        <v>457</v>
      </c>
      <c r="D4" s="11" t="s">
        <v>465</v>
      </c>
      <c r="E4" s="11" t="s">
        <v>466</v>
      </c>
    </row>
    <row r="5" spans="1:5" x14ac:dyDescent="0.45">
      <c r="A5" s="11" t="s">
        <v>467</v>
      </c>
      <c r="B5" s="11" t="s">
        <v>76</v>
      </c>
      <c r="C5" s="11" t="s">
        <v>461</v>
      </c>
      <c r="D5" s="11" t="s">
        <v>468</v>
      </c>
      <c r="E5" s="11" t="s">
        <v>469</v>
      </c>
    </row>
    <row r="6" spans="1:5" x14ac:dyDescent="0.45">
      <c r="A6" s="11" t="s">
        <v>470</v>
      </c>
      <c r="B6" s="11" t="s">
        <v>80</v>
      </c>
      <c r="C6" s="11" t="s">
        <v>457</v>
      </c>
      <c r="D6" s="11" t="s">
        <v>465</v>
      </c>
      <c r="E6" s="11" t="s">
        <v>471</v>
      </c>
    </row>
    <row r="7" spans="1:5" x14ac:dyDescent="0.45">
      <c r="A7" s="11" t="s">
        <v>472</v>
      </c>
      <c r="B7" s="11" t="s">
        <v>85</v>
      </c>
      <c r="C7" s="11" t="s">
        <v>457</v>
      </c>
      <c r="D7" s="11" t="s">
        <v>465</v>
      </c>
      <c r="E7" s="11" t="s">
        <v>473</v>
      </c>
    </row>
    <row r="8" spans="1:5" x14ac:dyDescent="0.45">
      <c r="A8" s="11" t="s">
        <v>474</v>
      </c>
      <c r="B8" s="11" t="s">
        <v>85</v>
      </c>
      <c r="C8" s="11" t="s">
        <v>461</v>
      </c>
      <c r="D8" s="11" t="s">
        <v>475</v>
      </c>
      <c r="E8" s="11" t="s">
        <v>476</v>
      </c>
    </row>
    <row r="9" spans="1:5" x14ac:dyDescent="0.45">
      <c r="A9" s="11" t="s">
        <v>477</v>
      </c>
      <c r="B9" s="11" t="s">
        <v>89</v>
      </c>
      <c r="C9" s="11" t="s">
        <v>457</v>
      </c>
      <c r="D9" s="11" t="s">
        <v>458</v>
      </c>
      <c r="E9" s="11" t="s">
        <v>478</v>
      </c>
    </row>
    <row r="10" spans="1:5" x14ac:dyDescent="0.45">
      <c r="A10" s="11" t="s">
        <v>479</v>
      </c>
      <c r="B10" s="11" t="s">
        <v>89</v>
      </c>
      <c r="C10" s="11" t="s">
        <v>461</v>
      </c>
      <c r="D10" s="11" t="s">
        <v>480</v>
      </c>
      <c r="E10" s="11" t="s">
        <v>481</v>
      </c>
    </row>
    <row r="11" spans="1:5" x14ac:dyDescent="0.45">
      <c r="A11" s="11" t="s">
        <v>482</v>
      </c>
      <c r="B11" s="11" t="s">
        <v>92</v>
      </c>
      <c r="C11" s="11" t="s">
        <v>457</v>
      </c>
      <c r="D11" s="11" t="s">
        <v>483</v>
      </c>
      <c r="E11" s="11" t="s">
        <v>484</v>
      </c>
    </row>
    <row r="12" spans="1:5" x14ac:dyDescent="0.45">
      <c r="A12" s="11" t="s">
        <v>485</v>
      </c>
      <c r="B12" s="11" t="s">
        <v>92</v>
      </c>
      <c r="C12" s="11" t="s">
        <v>461</v>
      </c>
      <c r="D12" s="11" t="s">
        <v>486</v>
      </c>
      <c r="E12" s="11" t="s">
        <v>487</v>
      </c>
    </row>
    <row r="13" spans="1:5" x14ac:dyDescent="0.45">
      <c r="A13" s="11" t="s">
        <v>488</v>
      </c>
      <c r="B13" s="11" t="s">
        <v>96</v>
      </c>
      <c r="C13" s="11" t="s">
        <v>457</v>
      </c>
      <c r="D13" s="11" t="s">
        <v>465</v>
      </c>
      <c r="E13" s="11" t="s">
        <v>466</v>
      </c>
    </row>
    <row r="14" spans="1:5" x14ac:dyDescent="0.45">
      <c r="A14" s="11" t="s">
        <v>489</v>
      </c>
      <c r="B14" s="11" t="s">
        <v>96</v>
      </c>
      <c r="C14" s="11" t="s">
        <v>461</v>
      </c>
      <c r="D14" s="11" t="s">
        <v>490</v>
      </c>
      <c r="E14" s="11" t="s">
        <v>491</v>
      </c>
    </row>
    <row r="15" spans="1:5" x14ac:dyDescent="0.45">
      <c r="A15" s="11" t="s">
        <v>492</v>
      </c>
      <c r="B15" s="11" t="s">
        <v>100</v>
      </c>
      <c r="C15" s="11" t="s">
        <v>457</v>
      </c>
      <c r="D15" s="11" t="s">
        <v>493</v>
      </c>
      <c r="E15" s="11" t="s">
        <v>494</v>
      </c>
    </row>
    <row r="16" spans="1:5" x14ac:dyDescent="0.45">
      <c r="A16" s="11" t="s">
        <v>495</v>
      </c>
      <c r="B16" s="11" t="s">
        <v>100</v>
      </c>
      <c r="C16" s="11" t="s">
        <v>461</v>
      </c>
      <c r="D16" s="11" t="s">
        <v>496</v>
      </c>
      <c r="E16" s="11" t="s">
        <v>497</v>
      </c>
    </row>
    <row r="17" spans="1:5" x14ac:dyDescent="0.45">
      <c r="A17" s="11" t="s">
        <v>498</v>
      </c>
      <c r="B17" s="11" t="s">
        <v>105</v>
      </c>
      <c r="C17" s="11" t="s">
        <v>457</v>
      </c>
      <c r="D17" s="11" t="s">
        <v>493</v>
      </c>
      <c r="E17" s="11" t="s">
        <v>499</v>
      </c>
    </row>
    <row r="18" spans="1:5" x14ac:dyDescent="0.45">
      <c r="A18" s="11" t="s">
        <v>500</v>
      </c>
      <c r="B18" s="11" t="s">
        <v>105</v>
      </c>
      <c r="C18" s="11" t="s">
        <v>461</v>
      </c>
      <c r="D18" s="11" t="s">
        <v>486</v>
      </c>
      <c r="E18" s="11" t="s">
        <v>501</v>
      </c>
    </row>
    <row r="19" spans="1:5" x14ac:dyDescent="0.45">
      <c r="A19" s="11" t="s">
        <v>502</v>
      </c>
      <c r="B19" s="11" t="s">
        <v>108</v>
      </c>
      <c r="C19" s="11" t="s">
        <v>457</v>
      </c>
      <c r="D19" s="11" t="s">
        <v>458</v>
      </c>
      <c r="E19" s="11" t="s">
        <v>478</v>
      </c>
    </row>
    <row r="20" spans="1:5" x14ac:dyDescent="0.45">
      <c r="A20" s="11" t="s">
        <v>503</v>
      </c>
      <c r="B20" s="11" t="s">
        <v>108</v>
      </c>
      <c r="C20" s="11" t="s">
        <v>461</v>
      </c>
      <c r="D20" s="11" t="s">
        <v>504</v>
      </c>
      <c r="E20" s="11" t="s">
        <v>505</v>
      </c>
    </row>
    <row r="21" spans="1:5" x14ac:dyDescent="0.45">
      <c r="A21" s="11" t="s">
        <v>506</v>
      </c>
      <c r="B21" s="11" t="s">
        <v>113</v>
      </c>
      <c r="C21" s="11" t="s">
        <v>457</v>
      </c>
      <c r="D21" s="11" t="s">
        <v>465</v>
      </c>
      <c r="E21" s="11" t="s">
        <v>507</v>
      </c>
    </row>
    <row r="22" spans="1:5" x14ac:dyDescent="0.45">
      <c r="A22" s="11" t="s">
        <v>508</v>
      </c>
      <c r="B22" s="11" t="s">
        <v>115</v>
      </c>
      <c r="C22" s="11" t="s">
        <v>457</v>
      </c>
      <c r="D22" s="11" t="s">
        <v>483</v>
      </c>
      <c r="E22" s="11" t="s">
        <v>509</v>
      </c>
    </row>
    <row r="23" spans="1:5" x14ac:dyDescent="0.45">
      <c r="A23" s="11" t="s">
        <v>510</v>
      </c>
      <c r="B23" s="11" t="s">
        <v>118</v>
      </c>
      <c r="C23" s="11" t="s">
        <v>457</v>
      </c>
      <c r="D23" s="11" t="s">
        <v>465</v>
      </c>
      <c r="E23" s="11" t="s">
        <v>471</v>
      </c>
    </row>
    <row r="24" spans="1:5" x14ac:dyDescent="0.45">
      <c r="A24" s="11" t="s">
        <v>511</v>
      </c>
      <c r="B24" s="11" t="s">
        <v>123</v>
      </c>
      <c r="C24" s="11" t="s">
        <v>457</v>
      </c>
      <c r="D24" s="11" t="s">
        <v>458</v>
      </c>
      <c r="E24" s="11" t="s">
        <v>512</v>
      </c>
    </row>
    <row r="25" spans="1:5" x14ac:dyDescent="0.45">
      <c r="A25" s="11" t="s">
        <v>513</v>
      </c>
      <c r="B25" s="11" t="s">
        <v>123</v>
      </c>
      <c r="C25" s="11" t="s">
        <v>461</v>
      </c>
      <c r="D25" s="11" t="s">
        <v>514</v>
      </c>
      <c r="E25" s="11" t="s">
        <v>515</v>
      </c>
    </row>
    <row r="26" spans="1:5" x14ac:dyDescent="0.45">
      <c r="A26" s="11" t="s">
        <v>516</v>
      </c>
      <c r="B26" s="11" t="s">
        <v>127</v>
      </c>
      <c r="C26" s="11" t="s">
        <v>457</v>
      </c>
      <c r="D26" s="11" t="s">
        <v>493</v>
      </c>
      <c r="E26" s="11" t="s">
        <v>517</v>
      </c>
    </row>
    <row r="27" spans="1:5" x14ac:dyDescent="0.45">
      <c r="A27" s="11" t="s">
        <v>518</v>
      </c>
      <c r="B27" s="11" t="s">
        <v>127</v>
      </c>
      <c r="C27" s="11" t="s">
        <v>461</v>
      </c>
      <c r="D27" s="11" t="s">
        <v>486</v>
      </c>
      <c r="E27" s="11" t="s">
        <v>519</v>
      </c>
    </row>
    <row r="28" spans="1:5" x14ac:dyDescent="0.45">
      <c r="A28" s="11" t="s">
        <v>520</v>
      </c>
      <c r="B28" s="11" t="s">
        <v>129</v>
      </c>
      <c r="C28" s="11" t="s">
        <v>457</v>
      </c>
      <c r="D28" s="11" t="s">
        <v>483</v>
      </c>
      <c r="E28" s="11" t="s">
        <v>484</v>
      </c>
    </row>
    <row r="29" spans="1:5" x14ac:dyDescent="0.45">
      <c r="A29" s="11" t="s">
        <v>521</v>
      </c>
      <c r="B29" s="11" t="s">
        <v>129</v>
      </c>
      <c r="C29" s="11" t="s">
        <v>461</v>
      </c>
      <c r="D29" s="11" t="s">
        <v>522</v>
      </c>
      <c r="E29" s="11" t="s">
        <v>523</v>
      </c>
    </row>
    <row r="30" spans="1:5" x14ac:dyDescent="0.45">
      <c r="A30" s="11" t="s">
        <v>524</v>
      </c>
      <c r="B30" s="11" t="s">
        <v>132</v>
      </c>
      <c r="C30" s="11" t="s">
        <v>457</v>
      </c>
      <c r="D30" s="11" t="s">
        <v>458</v>
      </c>
      <c r="E30" s="11" t="s">
        <v>525</v>
      </c>
    </row>
    <row r="31" spans="1:5" x14ac:dyDescent="0.45">
      <c r="A31" s="11" t="s">
        <v>526</v>
      </c>
      <c r="B31" s="11" t="s">
        <v>132</v>
      </c>
      <c r="C31" s="11" t="s">
        <v>461</v>
      </c>
      <c r="D31" s="11" t="s">
        <v>527</v>
      </c>
      <c r="E31" s="11" t="s">
        <v>528</v>
      </c>
    </row>
    <row r="32" spans="1:5" x14ac:dyDescent="0.45">
      <c r="A32" s="11" t="s">
        <v>529</v>
      </c>
      <c r="B32" s="11" t="s">
        <v>134</v>
      </c>
      <c r="C32" s="11" t="s">
        <v>457</v>
      </c>
      <c r="D32" s="11" t="s">
        <v>465</v>
      </c>
      <c r="E32" s="11" t="s">
        <v>471</v>
      </c>
    </row>
    <row r="33" spans="1:5" x14ac:dyDescent="0.45">
      <c r="A33" s="11" t="s">
        <v>530</v>
      </c>
      <c r="B33" s="11" t="s">
        <v>134</v>
      </c>
      <c r="C33" s="11" t="s">
        <v>461</v>
      </c>
      <c r="D33" s="11" t="s">
        <v>531</v>
      </c>
      <c r="E33" s="11" t="s">
        <v>532</v>
      </c>
    </row>
    <row r="34" spans="1:5" x14ac:dyDescent="0.45">
      <c r="A34" s="11" t="s">
        <v>533</v>
      </c>
      <c r="B34" s="11" t="s">
        <v>136</v>
      </c>
      <c r="C34" s="11" t="s">
        <v>457</v>
      </c>
      <c r="D34" s="11" t="s">
        <v>483</v>
      </c>
      <c r="E34" s="11" t="s">
        <v>534</v>
      </c>
    </row>
    <row r="35" spans="1:5" x14ac:dyDescent="0.45">
      <c r="A35" s="11" t="s">
        <v>535</v>
      </c>
      <c r="B35" s="11" t="s">
        <v>139</v>
      </c>
      <c r="C35" s="11" t="s">
        <v>457</v>
      </c>
      <c r="D35" s="11" t="s">
        <v>483</v>
      </c>
      <c r="E35" s="11" t="s">
        <v>536</v>
      </c>
    </row>
    <row r="36" spans="1:5" x14ac:dyDescent="0.45">
      <c r="A36" s="11" t="s">
        <v>537</v>
      </c>
      <c r="B36" s="11" t="s">
        <v>141</v>
      </c>
      <c r="C36" s="11" t="s">
        <v>457</v>
      </c>
      <c r="D36" s="11" t="s">
        <v>493</v>
      </c>
      <c r="E36" s="11" t="s">
        <v>538</v>
      </c>
    </row>
    <row r="37" spans="1:5" x14ac:dyDescent="0.45">
      <c r="A37" s="11" t="s">
        <v>539</v>
      </c>
      <c r="B37" s="11" t="s">
        <v>141</v>
      </c>
      <c r="C37" s="11" t="s">
        <v>461</v>
      </c>
      <c r="D37" s="11" t="s">
        <v>527</v>
      </c>
      <c r="E37" s="11" t="s">
        <v>540</v>
      </c>
    </row>
    <row r="38" spans="1:5" x14ac:dyDescent="0.45">
      <c r="A38" s="11" t="s">
        <v>541</v>
      </c>
      <c r="B38" s="11" t="s">
        <v>143</v>
      </c>
      <c r="C38" s="11" t="s">
        <v>457</v>
      </c>
      <c r="D38" s="11" t="s">
        <v>483</v>
      </c>
      <c r="E38" s="11" t="s">
        <v>509</v>
      </c>
    </row>
    <row r="39" spans="1:5" x14ac:dyDescent="0.45">
      <c r="A39" s="11" t="s">
        <v>542</v>
      </c>
      <c r="B39" s="11" t="s">
        <v>147</v>
      </c>
      <c r="C39" s="11" t="s">
        <v>457</v>
      </c>
      <c r="D39" s="11" t="s">
        <v>483</v>
      </c>
      <c r="E39" s="11" t="s">
        <v>543</v>
      </c>
    </row>
    <row r="40" spans="1:5" x14ac:dyDescent="0.45">
      <c r="A40" s="11" t="s">
        <v>544</v>
      </c>
      <c r="B40" s="11" t="s">
        <v>147</v>
      </c>
      <c r="C40" s="11" t="s">
        <v>461</v>
      </c>
      <c r="D40" s="11" t="s">
        <v>531</v>
      </c>
      <c r="E40" s="11" t="s">
        <v>532</v>
      </c>
    </row>
    <row r="41" spans="1:5" x14ac:dyDescent="0.45">
      <c r="A41" s="11" t="s">
        <v>545</v>
      </c>
      <c r="B41" s="11" t="s">
        <v>149</v>
      </c>
      <c r="C41" s="11" t="s">
        <v>457</v>
      </c>
      <c r="D41" s="11" t="s">
        <v>483</v>
      </c>
      <c r="E41" s="11" t="s">
        <v>534</v>
      </c>
    </row>
    <row r="42" spans="1:5" x14ac:dyDescent="0.45">
      <c r="A42" s="11" t="s">
        <v>546</v>
      </c>
      <c r="B42" s="11" t="s">
        <v>149</v>
      </c>
      <c r="C42" s="11" t="s">
        <v>461</v>
      </c>
      <c r="D42" s="11" t="s">
        <v>547</v>
      </c>
      <c r="E42" s="11" t="s">
        <v>548</v>
      </c>
    </row>
    <row r="43" spans="1:5" x14ac:dyDescent="0.45">
      <c r="A43" s="11" t="s">
        <v>549</v>
      </c>
      <c r="B43" s="11" t="s">
        <v>153</v>
      </c>
      <c r="C43" s="11" t="s">
        <v>457</v>
      </c>
      <c r="D43" s="11" t="s">
        <v>493</v>
      </c>
      <c r="E43" s="11" t="s">
        <v>517</v>
      </c>
    </row>
    <row r="44" spans="1:5" x14ac:dyDescent="0.45">
      <c r="A44" s="11" t="s">
        <v>550</v>
      </c>
      <c r="B44" s="11" t="s">
        <v>153</v>
      </c>
      <c r="C44" s="11" t="s">
        <v>461</v>
      </c>
      <c r="D44" s="11" t="s">
        <v>496</v>
      </c>
      <c r="E44" s="11" t="s">
        <v>551</v>
      </c>
    </row>
    <row r="45" spans="1:5" x14ac:dyDescent="0.45">
      <c r="A45" s="11" t="s">
        <v>552</v>
      </c>
      <c r="B45" s="11" t="s">
        <v>155</v>
      </c>
      <c r="C45" s="11" t="s">
        <v>457</v>
      </c>
      <c r="D45" s="11" t="s">
        <v>483</v>
      </c>
      <c r="E45" s="11" t="s">
        <v>484</v>
      </c>
    </row>
    <row r="46" spans="1:5" x14ac:dyDescent="0.45">
      <c r="A46" s="11" t="s">
        <v>553</v>
      </c>
      <c r="B46" s="11" t="s">
        <v>155</v>
      </c>
      <c r="C46" s="11" t="s">
        <v>461</v>
      </c>
      <c r="D46" s="11" t="s">
        <v>554</v>
      </c>
      <c r="E46" s="11" t="s">
        <v>555</v>
      </c>
    </row>
    <row r="47" spans="1:5" x14ac:dyDescent="0.45">
      <c r="A47" s="11" t="s">
        <v>556</v>
      </c>
      <c r="B47" s="11" t="s">
        <v>160</v>
      </c>
      <c r="C47" s="11" t="s">
        <v>457</v>
      </c>
      <c r="D47" s="11" t="s">
        <v>483</v>
      </c>
      <c r="E47" s="11" t="s">
        <v>509</v>
      </c>
    </row>
    <row r="48" spans="1:5" x14ac:dyDescent="0.45">
      <c r="A48" s="11" t="s">
        <v>557</v>
      </c>
      <c r="B48" s="11" t="s">
        <v>160</v>
      </c>
      <c r="C48" s="11" t="s">
        <v>461</v>
      </c>
      <c r="D48" s="11" t="s">
        <v>462</v>
      </c>
      <c r="E48" s="11" t="s">
        <v>558</v>
      </c>
    </row>
    <row r="49" spans="1:5" x14ac:dyDescent="0.45">
      <c r="A49" s="11" t="s">
        <v>559</v>
      </c>
      <c r="B49" s="11" t="s">
        <v>162</v>
      </c>
      <c r="C49" s="11" t="s">
        <v>457</v>
      </c>
      <c r="D49" s="11" t="s">
        <v>458</v>
      </c>
      <c r="E49" s="11" t="s">
        <v>560</v>
      </c>
    </row>
    <row r="50" spans="1:5" x14ac:dyDescent="0.45">
      <c r="A50" s="11" t="s">
        <v>561</v>
      </c>
      <c r="B50" s="11" t="s">
        <v>164</v>
      </c>
      <c r="C50" s="11" t="s">
        <v>457</v>
      </c>
      <c r="D50" s="11" t="s">
        <v>483</v>
      </c>
      <c r="E50" s="11" t="s">
        <v>534</v>
      </c>
    </row>
    <row r="51" spans="1:5" x14ac:dyDescent="0.45">
      <c r="A51" s="11" t="s">
        <v>562</v>
      </c>
      <c r="B51" s="11" t="s">
        <v>166</v>
      </c>
      <c r="C51" s="11" t="s">
        <v>457</v>
      </c>
      <c r="D51" s="11" t="s">
        <v>465</v>
      </c>
      <c r="E51" s="11" t="s">
        <v>563</v>
      </c>
    </row>
    <row r="52" spans="1:5" x14ac:dyDescent="0.45">
      <c r="A52" s="11" t="s">
        <v>564</v>
      </c>
      <c r="B52" s="11" t="s">
        <v>169</v>
      </c>
      <c r="C52" s="11" t="s">
        <v>457</v>
      </c>
      <c r="D52" s="11" t="s">
        <v>493</v>
      </c>
      <c r="E52" s="11" t="s">
        <v>538</v>
      </c>
    </row>
    <row r="53" spans="1:5" x14ac:dyDescent="0.45">
      <c r="A53" s="11" t="s">
        <v>565</v>
      </c>
      <c r="B53" s="11" t="s">
        <v>169</v>
      </c>
      <c r="C53" s="11" t="s">
        <v>461</v>
      </c>
      <c r="D53" s="11" t="s">
        <v>566</v>
      </c>
      <c r="E53" s="11" t="s">
        <v>567</v>
      </c>
    </row>
    <row r="54" spans="1:5" x14ac:dyDescent="0.45">
      <c r="A54" s="11" t="s">
        <v>568</v>
      </c>
      <c r="B54" s="11" t="s">
        <v>173</v>
      </c>
      <c r="C54" s="11" t="s">
        <v>457</v>
      </c>
      <c r="D54" s="11" t="s">
        <v>483</v>
      </c>
      <c r="E54" s="11" t="s">
        <v>509</v>
      </c>
    </row>
    <row r="55" spans="1:5" x14ac:dyDescent="0.45">
      <c r="A55" s="11" t="s">
        <v>569</v>
      </c>
      <c r="B55" s="11" t="s">
        <v>176</v>
      </c>
      <c r="C55" s="11" t="s">
        <v>457</v>
      </c>
      <c r="D55" s="11" t="s">
        <v>465</v>
      </c>
      <c r="E55" s="11" t="s">
        <v>471</v>
      </c>
    </row>
    <row r="56" spans="1:5" x14ac:dyDescent="0.45">
      <c r="A56" s="11" t="s">
        <v>570</v>
      </c>
      <c r="B56" s="11" t="s">
        <v>176</v>
      </c>
      <c r="C56" s="11" t="s">
        <v>461</v>
      </c>
      <c r="D56" s="11" t="s">
        <v>486</v>
      </c>
      <c r="E56" s="11" t="s">
        <v>571</v>
      </c>
    </row>
    <row r="57" spans="1:5" x14ac:dyDescent="0.45">
      <c r="A57" s="11" t="s">
        <v>572</v>
      </c>
      <c r="B57" s="11" t="s">
        <v>179</v>
      </c>
      <c r="C57" s="11" t="s">
        <v>457</v>
      </c>
      <c r="D57" s="11" t="s">
        <v>458</v>
      </c>
      <c r="E57" s="11" t="s">
        <v>512</v>
      </c>
    </row>
    <row r="58" spans="1:5" x14ac:dyDescent="0.45">
      <c r="A58" s="11" t="s">
        <v>573</v>
      </c>
      <c r="B58" s="11" t="s">
        <v>180</v>
      </c>
      <c r="C58" s="11" t="s">
        <v>457</v>
      </c>
      <c r="D58" s="11" t="s">
        <v>465</v>
      </c>
      <c r="E58" s="11" t="s">
        <v>563</v>
      </c>
    </row>
    <row r="59" spans="1:5" x14ac:dyDescent="0.45">
      <c r="A59" s="11" t="s">
        <v>574</v>
      </c>
      <c r="B59" s="11" t="s">
        <v>183</v>
      </c>
      <c r="C59" s="11" t="s">
        <v>457</v>
      </c>
      <c r="D59" s="11" t="s">
        <v>493</v>
      </c>
      <c r="E59" s="11" t="s">
        <v>538</v>
      </c>
    </row>
    <row r="60" spans="1:5" x14ac:dyDescent="0.45">
      <c r="A60" s="11" t="s">
        <v>575</v>
      </c>
      <c r="B60" s="11" t="s">
        <v>183</v>
      </c>
      <c r="C60" s="11" t="s">
        <v>461</v>
      </c>
      <c r="D60" s="11" t="s">
        <v>480</v>
      </c>
      <c r="E60" s="11" t="s">
        <v>576</v>
      </c>
    </row>
    <row r="61" spans="1:5" x14ac:dyDescent="0.45">
      <c r="A61" s="11" t="s">
        <v>577</v>
      </c>
      <c r="B61" s="11" t="s">
        <v>186</v>
      </c>
      <c r="C61" s="11" t="s">
        <v>457</v>
      </c>
      <c r="D61" s="11" t="s">
        <v>465</v>
      </c>
      <c r="E61" s="11" t="s">
        <v>466</v>
      </c>
    </row>
    <row r="62" spans="1:5" x14ac:dyDescent="0.45">
      <c r="A62" s="11" t="s">
        <v>578</v>
      </c>
      <c r="B62" s="11" t="s">
        <v>188</v>
      </c>
      <c r="C62" s="11" t="s">
        <v>457</v>
      </c>
      <c r="D62" s="11" t="s">
        <v>465</v>
      </c>
      <c r="E62" s="11" t="s">
        <v>471</v>
      </c>
    </row>
    <row r="63" spans="1:5" x14ac:dyDescent="0.45">
      <c r="A63" s="11" t="s">
        <v>579</v>
      </c>
      <c r="B63" s="11" t="s">
        <v>190</v>
      </c>
      <c r="C63" s="11" t="s">
        <v>457</v>
      </c>
      <c r="D63" s="11" t="s">
        <v>483</v>
      </c>
      <c r="E63" s="11" t="s">
        <v>534</v>
      </c>
    </row>
    <row r="64" spans="1:5" x14ac:dyDescent="0.45">
      <c r="A64" s="11" t="s">
        <v>580</v>
      </c>
      <c r="B64" s="11" t="s">
        <v>190</v>
      </c>
      <c r="C64" s="11" t="s">
        <v>461</v>
      </c>
      <c r="D64" s="11" t="s">
        <v>527</v>
      </c>
      <c r="E64" s="11" t="s">
        <v>581</v>
      </c>
    </row>
    <row r="65" spans="1:5" x14ac:dyDescent="0.45">
      <c r="A65" s="11" t="s">
        <v>582</v>
      </c>
      <c r="B65" s="11" t="s">
        <v>192</v>
      </c>
      <c r="C65" s="11" t="s">
        <v>457</v>
      </c>
      <c r="D65" s="11" t="s">
        <v>483</v>
      </c>
      <c r="E65" s="11" t="s">
        <v>536</v>
      </c>
    </row>
    <row r="66" spans="1:5" x14ac:dyDescent="0.45">
      <c r="A66" s="11" t="s">
        <v>583</v>
      </c>
      <c r="B66" s="11" t="s">
        <v>192</v>
      </c>
      <c r="C66" s="11" t="s">
        <v>461</v>
      </c>
      <c r="D66" s="11" t="s">
        <v>584</v>
      </c>
      <c r="E66" s="11" t="s">
        <v>585</v>
      </c>
    </row>
    <row r="67" spans="1:5" x14ac:dyDescent="0.45">
      <c r="A67" s="11" t="s">
        <v>586</v>
      </c>
      <c r="B67" s="11" t="s">
        <v>196</v>
      </c>
      <c r="C67" s="11" t="s">
        <v>457</v>
      </c>
      <c r="D67" s="11" t="s">
        <v>493</v>
      </c>
      <c r="E67" s="11" t="s">
        <v>538</v>
      </c>
    </row>
    <row r="68" spans="1:5" x14ac:dyDescent="0.45">
      <c r="A68" s="11" t="s">
        <v>587</v>
      </c>
      <c r="B68" s="11" t="s">
        <v>196</v>
      </c>
      <c r="C68" s="11" t="s">
        <v>461</v>
      </c>
      <c r="D68" s="11" t="s">
        <v>554</v>
      </c>
      <c r="E68" s="11" t="s">
        <v>555</v>
      </c>
    </row>
    <row r="69" spans="1:5" x14ac:dyDescent="0.45">
      <c r="A69" s="11" t="s">
        <v>588</v>
      </c>
      <c r="B69" s="11" t="s">
        <v>199</v>
      </c>
      <c r="C69" s="11" t="s">
        <v>457</v>
      </c>
      <c r="D69" s="11" t="s">
        <v>483</v>
      </c>
      <c r="E69" s="11" t="s">
        <v>509</v>
      </c>
    </row>
    <row r="70" spans="1:5" x14ac:dyDescent="0.45">
      <c r="A70" s="11" t="s">
        <v>589</v>
      </c>
      <c r="B70" s="11" t="s">
        <v>199</v>
      </c>
      <c r="C70" s="11" t="s">
        <v>461</v>
      </c>
      <c r="D70" s="11" t="s">
        <v>468</v>
      </c>
      <c r="E70" s="11" t="s">
        <v>469</v>
      </c>
    </row>
    <row r="71" spans="1:5" x14ac:dyDescent="0.45">
      <c r="A71" s="11" t="s">
        <v>590</v>
      </c>
      <c r="B71" s="11" t="s">
        <v>201</v>
      </c>
      <c r="C71" s="11" t="s">
        <v>457</v>
      </c>
      <c r="D71" s="11" t="s">
        <v>458</v>
      </c>
      <c r="E71" s="11" t="s">
        <v>560</v>
      </c>
    </row>
    <row r="72" spans="1:5" x14ac:dyDescent="0.45">
      <c r="A72" s="11" t="s">
        <v>591</v>
      </c>
      <c r="B72" s="11" t="s">
        <v>201</v>
      </c>
      <c r="C72" s="11" t="s">
        <v>461</v>
      </c>
      <c r="D72" s="11" t="s">
        <v>496</v>
      </c>
      <c r="E72" s="11" t="s">
        <v>497</v>
      </c>
    </row>
    <row r="73" spans="1:5" x14ac:dyDescent="0.45">
      <c r="A73" s="11" t="s">
        <v>592</v>
      </c>
      <c r="B73" s="11" t="s">
        <v>202</v>
      </c>
      <c r="C73" s="11" t="s">
        <v>457</v>
      </c>
      <c r="D73" s="11" t="s">
        <v>493</v>
      </c>
      <c r="E73" s="11" t="s">
        <v>499</v>
      </c>
    </row>
    <row r="74" spans="1:5" x14ac:dyDescent="0.45">
      <c r="A74" s="11" t="s">
        <v>593</v>
      </c>
      <c r="B74" s="11" t="s">
        <v>202</v>
      </c>
      <c r="C74" s="11" t="s">
        <v>461</v>
      </c>
      <c r="D74" s="11" t="s">
        <v>566</v>
      </c>
      <c r="E74" s="11" t="s">
        <v>594</v>
      </c>
    </row>
    <row r="75" spans="1:5" x14ac:dyDescent="0.45">
      <c r="A75" s="11" t="s">
        <v>595</v>
      </c>
      <c r="B75" s="11" t="s">
        <v>204</v>
      </c>
      <c r="C75" s="11" t="s">
        <v>457</v>
      </c>
      <c r="D75" s="11" t="s">
        <v>465</v>
      </c>
      <c r="E75" s="11" t="s">
        <v>563</v>
      </c>
    </row>
    <row r="76" spans="1:5" x14ac:dyDescent="0.45">
      <c r="A76" s="11" t="s">
        <v>596</v>
      </c>
      <c r="B76" s="11" t="s">
        <v>204</v>
      </c>
      <c r="C76" s="11" t="s">
        <v>461</v>
      </c>
      <c r="D76" s="11" t="s">
        <v>527</v>
      </c>
      <c r="E76" s="11" t="s">
        <v>597</v>
      </c>
    </row>
    <row r="77" spans="1:5" x14ac:dyDescent="0.45">
      <c r="A77" s="11" t="s">
        <v>598</v>
      </c>
      <c r="B77" s="11" t="s">
        <v>206</v>
      </c>
      <c r="C77" s="11" t="s">
        <v>457</v>
      </c>
      <c r="D77" s="11" t="s">
        <v>458</v>
      </c>
      <c r="E77" s="11" t="s">
        <v>459</v>
      </c>
    </row>
    <row r="78" spans="1:5" x14ac:dyDescent="0.45">
      <c r="A78" s="11" t="s">
        <v>599</v>
      </c>
      <c r="B78" s="11" t="s">
        <v>207</v>
      </c>
      <c r="C78" s="11" t="s">
        <v>457</v>
      </c>
      <c r="D78" s="11" t="s">
        <v>465</v>
      </c>
      <c r="E78" s="11" t="s">
        <v>466</v>
      </c>
    </row>
    <row r="79" spans="1:5" x14ac:dyDescent="0.45">
      <c r="A79" s="11" t="s">
        <v>600</v>
      </c>
      <c r="B79" s="11" t="s">
        <v>208</v>
      </c>
      <c r="C79" s="11" t="s">
        <v>457</v>
      </c>
      <c r="D79" s="11" t="s">
        <v>483</v>
      </c>
      <c r="E79" s="11" t="s">
        <v>543</v>
      </c>
    </row>
    <row r="80" spans="1:5" x14ac:dyDescent="0.45">
      <c r="A80" s="11" t="s">
        <v>601</v>
      </c>
      <c r="B80" s="11" t="s">
        <v>208</v>
      </c>
      <c r="C80" s="11" t="s">
        <v>461</v>
      </c>
      <c r="D80" s="11" t="s">
        <v>602</v>
      </c>
      <c r="E80" s="11" t="s">
        <v>603</v>
      </c>
    </row>
    <row r="81" spans="1:5" x14ac:dyDescent="0.45">
      <c r="A81" s="11" t="s">
        <v>604</v>
      </c>
      <c r="B81" s="11" t="s">
        <v>212</v>
      </c>
      <c r="C81" s="11" t="s">
        <v>457</v>
      </c>
      <c r="D81" s="11" t="s">
        <v>458</v>
      </c>
      <c r="E81" s="11" t="s">
        <v>512</v>
      </c>
    </row>
    <row r="82" spans="1:5" x14ac:dyDescent="0.45">
      <c r="A82" s="11" t="s">
        <v>605</v>
      </c>
      <c r="B82" s="11" t="s">
        <v>212</v>
      </c>
      <c r="C82" s="11" t="s">
        <v>461</v>
      </c>
      <c r="D82" s="11" t="s">
        <v>606</v>
      </c>
      <c r="E82" s="11" t="s">
        <v>607</v>
      </c>
    </row>
    <row r="83" spans="1:5" x14ac:dyDescent="0.45">
      <c r="A83" s="11" t="s">
        <v>608</v>
      </c>
      <c r="B83" s="11" t="s">
        <v>213</v>
      </c>
      <c r="C83" s="11" t="s">
        <v>457</v>
      </c>
      <c r="D83" s="11" t="s">
        <v>483</v>
      </c>
      <c r="E83" s="11" t="s">
        <v>536</v>
      </c>
    </row>
    <row r="84" spans="1:5" x14ac:dyDescent="0.45">
      <c r="A84" s="11" t="s">
        <v>609</v>
      </c>
      <c r="B84" s="11" t="s">
        <v>213</v>
      </c>
      <c r="C84" s="11" t="s">
        <v>461</v>
      </c>
      <c r="D84" s="11" t="s">
        <v>522</v>
      </c>
      <c r="E84" s="11" t="s">
        <v>610</v>
      </c>
    </row>
    <row r="85" spans="1:5" x14ac:dyDescent="0.45">
      <c r="A85" s="11" t="s">
        <v>611</v>
      </c>
      <c r="B85" s="11" t="s">
        <v>214</v>
      </c>
      <c r="C85" s="11" t="s">
        <v>457</v>
      </c>
      <c r="D85" s="11" t="s">
        <v>465</v>
      </c>
      <c r="E85" s="11" t="s">
        <v>507</v>
      </c>
    </row>
    <row r="86" spans="1:5" x14ac:dyDescent="0.45">
      <c r="A86" s="11" t="s">
        <v>612</v>
      </c>
      <c r="B86" s="11" t="s">
        <v>215</v>
      </c>
      <c r="C86" s="11" t="s">
        <v>457</v>
      </c>
      <c r="D86" s="11" t="s">
        <v>483</v>
      </c>
      <c r="E86" s="11" t="s">
        <v>509</v>
      </c>
    </row>
    <row r="87" spans="1:5" x14ac:dyDescent="0.45">
      <c r="A87" s="11" t="s">
        <v>613</v>
      </c>
      <c r="B87" s="11" t="s">
        <v>215</v>
      </c>
      <c r="C87" s="11" t="s">
        <v>461</v>
      </c>
      <c r="D87" s="11" t="s">
        <v>486</v>
      </c>
      <c r="E87" s="11" t="s">
        <v>614</v>
      </c>
    </row>
    <row r="88" spans="1:5" x14ac:dyDescent="0.45">
      <c r="A88" s="11" t="s">
        <v>615</v>
      </c>
      <c r="B88" s="11" t="s">
        <v>218</v>
      </c>
      <c r="C88" s="11" t="s">
        <v>457</v>
      </c>
      <c r="D88" s="11" t="s">
        <v>493</v>
      </c>
      <c r="E88" s="11" t="s">
        <v>494</v>
      </c>
    </row>
    <row r="89" spans="1:5" x14ac:dyDescent="0.45">
      <c r="A89" s="11" t="s">
        <v>616</v>
      </c>
      <c r="B89" s="11" t="s">
        <v>218</v>
      </c>
      <c r="C89" s="11" t="s">
        <v>461</v>
      </c>
      <c r="D89" s="11" t="s">
        <v>475</v>
      </c>
      <c r="E89" s="11" t="s">
        <v>617</v>
      </c>
    </row>
    <row r="90" spans="1:5" x14ac:dyDescent="0.45">
      <c r="A90" s="11" t="s">
        <v>618</v>
      </c>
      <c r="B90" s="11" t="s">
        <v>222</v>
      </c>
      <c r="C90" s="11" t="s">
        <v>457</v>
      </c>
      <c r="D90" s="11" t="s">
        <v>465</v>
      </c>
      <c r="E90" s="11" t="s">
        <v>473</v>
      </c>
    </row>
    <row r="91" spans="1:5" x14ac:dyDescent="0.45">
      <c r="A91" s="11" t="s">
        <v>619</v>
      </c>
      <c r="B91" s="11" t="s">
        <v>222</v>
      </c>
      <c r="C91" s="11" t="s">
        <v>461</v>
      </c>
      <c r="D91" s="11" t="s">
        <v>462</v>
      </c>
      <c r="E91" s="11" t="s">
        <v>620</v>
      </c>
    </row>
    <row r="92" spans="1:5" x14ac:dyDescent="0.45">
      <c r="A92" s="11" t="s">
        <v>621</v>
      </c>
      <c r="B92" s="11" t="s">
        <v>224</v>
      </c>
      <c r="C92" s="11" t="s">
        <v>457</v>
      </c>
      <c r="D92" s="11" t="s">
        <v>465</v>
      </c>
      <c r="E92" s="11" t="s">
        <v>563</v>
      </c>
    </row>
    <row r="93" spans="1:5" x14ac:dyDescent="0.45">
      <c r="A93" s="11" t="s">
        <v>622</v>
      </c>
      <c r="B93" s="11" t="s">
        <v>224</v>
      </c>
      <c r="C93" s="11" t="s">
        <v>461</v>
      </c>
      <c r="D93" s="11" t="s">
        <v>480</v>
      </c>
      <c r="E93" s="11" t="s">
        <v>481</v>
      </c>
    </row>
    <row r="94" spans="1:5" x14ac:dyDescent="0.45">
      <c r="A94" s="11" t="s">
        <v>623</v>
      </c>
      <c r="B94" s="11" t="s">
        <v>225</v>
      </c>
      <c r="C94" s="11" t="s">
        <v>457</v>
      </c>
      <c r="D94" s="11" t="s">
        <v>483</v>
      </c>
      <c r="E94" s="11" t="s">
        <v>484</v>
      </c>
    </row>
    <row r="95" spans="1:5" x14ac:dyDescent="0.45">
      <c r="A95" s="11" t="s">
        <v>624</v>
      </c>
      <c r="B95" s="11" t="s">
        <v>225</v>
      </c>
      <c r="C95" s="11" t="s">
        <v>461</v>
      </c>
      <c r="D95" s="11" t="s">
        <v>527</v>
      </c>
      <c r="E95" s="11" t="s">
        <v>540</v>
      </c>
    </row>
    <row r="96" spans="1:5" x14ac:dyDescent="0.45">
      <c r="A96" s="11" t="s">
        <v>625</v>
      </c>
      <c r="B96" s="11" t="s">
        <v>227</v>
      </c>
      <c r="C96" s="11" t="s">
        <v>457</v>
      </c>
      <c r="D96" s="11" t="s">
        <v>483</v>
      </c>
      <c r="E96" s="11" t="s">
        <v>509</v>
      </c>
    </row>
    <row r="97" spans="1:5" x14ac:dyDescent="0.45">
      <c r="A97" s="11" t="s">
        <v>626</v>
      </c>
      <c r="B97" s="11" t="s">
        <v>231</v>
      </c>
      <c r="C97" s="11" t="s">
        <v>457</v>
      </c>
      <c r="D97" s="11" t="s">
        <v>483</v>
      </c>
      <c r="E97" s="11" t="s">
        <v>543</v>
      </c>
    </row>
    <row r="98" spans="1:5" x14ac:dyDescent="0.45">
      <c r="A98" s="11" t="s">
        <v>627</v>
      </c>
      <c r="B98" s="11" t="s">
        <v>231</v>
      </c>
      <c r="C98" s="11" t="s">
        <v>461</v>
      </c>
      <c r="D98" s="11" t="s">
        <v>606</v>
      </c>
      <c r="E98" s="11" t="s">
        <v>628</v>
      </c>
    </row>
    <row r="99" spans="1:5" x14ac:dyDescent="0.45">
      <c r="A99" s="11" t="s">
        <v>629</v>
      </c>
      <c r="B99" s="11" t="s">
        <v>233</v>
      </c>
      <c r="C99" s="11" t="s">
        <v>457</v>
      </c>
      <c r="D99" s="11" t="s">
        <v>493</v>
      </c>
      <c r="E99" s="11" t="s">
        <v>499</v>
      </c>
    </row>
    <row r="100" spans="1:5" x14ac:dyDescent="0.45">
      <c r="A100" s="11" t="s">
        <v>630</v>
      </c>
      <c r="B100" s="11" t="s">
        <v>235</v>
      </c>
      <c r="C100" s="11" t="s">
        <v>457</v>
      </c>
      <c r="D100" s="11" t="s">
        <v>458</v>
      </c>
      <c r="E100" s="11" t="s">
        <v>478</v>
      </c>
    </row>
    <row r="101" spans="1:5" x14ac:dyDescent="0.45">
      <c r="A101" s="11" t="s">
        <v>631</v>
      </c>
      <c r="B101" s="11" t="s">
        <v>235</v>
      </c>
      <c r="C101" s="11" t="s">
        <v>461</v>
      </c>
      <c r="D101" s="11" t="s">
        <v>496</v>
      </c>
      <c r="E101" s="11" t="s">
        <v>551</v>
      </c>
    </row>
    <row r="102" spans="1:5" x14ac:dyDescent="0.45">
      <c r="A102" s="11" t="s">
        <v>632</v>
      </c>
      <c r="B102" s="11" t="s">
        <v>238</v>
      </c>
      <c r="C102" s="11" t="s">
        <v>457</v>
      </c>
      <c r="D102" s="11" t="s">
        <v>493</v>
      </c>
      <c r="E102" s="11" t="s">
        <v>538</v>
      </c>
    </row>
    <row r="103" spans="1:5" x14ac:dyDescent="0.45">
      <c r="A103" s="11" t="s">
        <v>633</v>
      </c>
      <c r="B103" s="11" t="s">
        <v>239</v>
      </c>
      <c r="C103" s="11" t="s">
        <v>457</v>
      </c>
      <c r="D103" s="11" t="s">
        <v>465</v>
      </c>
      <c r="E103" s="11" t="s">
        <v>466</v>
      </c>
    </row>
    <row r="104" spans="1:5" x14ac:dyDescent="0.45">
      <c r="A104" s="11" t="s">
        <v>634</v>
      </c>
      <c r="B104" s="11" t="s">
        <v>239</v>
      </c>
      <c r="C104" s="11" t="s">
        <v>461</v>
      </c>
      <c r="D104" s="11" t="s">
        <v>635</v>
      </c>
      <c r="E104" s="11" t="s">
        <v>636</v>
      </c>
    </row>
    <row r="105" spans="1:5" x14ac:dyDescent="0.45">
      <c r="A105" s="11" t="s">
        <v>637</v>
      </c>
      <c r="B105" s="11" t="s">
        <v>240</v>
      </c>
      <c r="C105" s="11" t="s">
        <v>457</v>
      </c>
      <c r="D105" s="11" t="s">
        <v>493</v>
      </c>
      <c r="E105" s="11" t="s">
        <v>494</v>
      </c>
    </row>
    <row r="106" spans="1:5" x14ac:dyDescent="0.45">
      <c r="A106" s="11" t="s">
        <v>638</v>
      </c>
      <c r="B106" s="11" t="s">
        <v>240</v>
      </c>
      <c r="C106" s="11" t="s">
        <v>461</v>
      </c>
      <c r="D106" s="11" t="s">
        <v>504</v>
      </c>
      <c r="E106" s="11" t="s">
        <v>639</v>
      </c>
    </row>
    <row r="107" spans="1:5" x14ac:dyDescent="0.45">
      <c r="A107" s="11" t="s">
        <v>640</v>
      </c>
      <c r="B107" s="11" t="s">
        <v>243</v>
      </c>
      <c r="C107" s="11" t="s">
        <v>457</v>
      </c>
      <c r="D107" s="11" t="s">
        <v>458</v>
      </c>
      <c r="E107" s="11" t="s">
        <v>512</v>
      </c>
    </row>
    <row r="108" spans="1:5" x14ac:dyDescent="0.45">
      <c r="A108" s="11" t="s">
        <v>641</v>
      </c>
      <c r="B108" s="11" t="s">
        <v>243</v>
      </c>
      <c r="C108" s="11" t="s">
        <v>461</v>
      </c>
      <c r="D108" s="11" t="s">
        <v>602</v>
      </c>
      <c r="E108" s="11" t="s">
        <v>642</v>
      </c>
    </row>
    <row r="109" spans="1:5" x14ac:dyDescent="0.45">
      <c r="A109" s="11" t="s">
        <v>643</v>
      </c>
      <c r="B109" s="11" t="s">
        <v>244</v>
      </c>
      <c r="C109" s="11" t="s">
        <v>457</v>
      </c>
      <c r="D109" s="11" t="s">
        <v>483</v>
      </c>
      <c r="E109" s="11" t="s">
        <v>536</v>
      </c>
    </row>
    <row r="110" spans="1:5" x14ac:dyDescent="0.45">
      <c r="A110" s="11" t="s">
        <v>644</v>
      </c>
      <c r="B110" s="11" t="s">
        <v>244</v>
      </c>
      <c r="C110" s="11" t="s">
        <v>461</v>
      </c>
      <c r="D110" s="11" t="s">
        <v>584</v>
      </c>
      <c r="E110" s="11" t="s">
        <v>585</v>
      </c>
    </row>
    <row r="111" spans="1:5" x14ac:dyDescent="0.45">
      <c r="A111" s="11" t="s">
        <v>645</v>
      </c>
      <c r="B111" s="11" t="s">
        <v>245</v>
      </c>
      <c r="C111" s="11" t="s">
        <v>457</v>
      </c>
      <c r="D111" s="11" t="s">
        <v>483</v>
      </c>
      <c r="E111" s="11" t="s">
        <v>484</v>
      </c>
    </row>
    <row r="112" spans="1:5" x14ac:dyDescent="0.45">
      <c r="A112" s="11" t="s">
        <v>646</v>
      </c>
      <c r="B112" s="11" t="s">
        <v>247</v>
      </c>
      <c r="C112" s="11" t="s">
        <v>457</v>
      </c>
      <c r="D112" s="11" t="s">
        <v>483</v>
      </c>
      <c r="E112" s="11" t="s">
        <v>509</v>
      </c>
    </row>
    <row r="113" spans="1:5" x14ac:dyDescent="0.45">
      <c r="A113" s="11" t="s">
        <v>647</v>
      </c>
      <c r="B113" s="11" t="s">
        <v>248</v>
      </c>
      <c r="C113" s="11" t="s">
        <v>457</v>
      </c>
      <c r="D113" s="11" t="s">
        <v>483</v>
      </c>
      <c r="E113" s="11" t="s">
        <v>543</v>
      </c>
    </row>
    <row r="114" spans="1:5" x14ac:dyDescent="0.45">
      <c r="A114" s="11" t="s">
        <v>648</v>
      </c>
      <c r="B114" s="11" t="s">
        <v>253</v>
      </c>
      <c r="C114" s="11" t="s">
        <v>457</v>
      </c>
      <c r="D114" s="11" t="s">
        <v>483</v>
      </c>
      <c r="E114" s="11" t="s">
        <v>534</v>
      </c>
    </row>
    <row r="115" spans="1:5" x14ac:dyDescent="0.45">
      <c r="A115" s="11" t="s">
        <v>649</v>
      </c>
      <c r="B115" s="11" t="s">
        <v>254</v>
      </c>
      <c r="C115" s="11" t="s">
        <v>457</v>
      </c>
      <c r="D115" s="11" t="s">
        <v>465</v>
      </c>
      <c r="E115" s="11" t="s">
        <v>563</v>
      </c>
    </row>
    <row r="116" spans="1:5" x14ac:dyDescent="0.45">
      <c r="A116" s="11" t="s">
        <v>650</v>
      </c>
      <c r="B116" s="11" t="s">
        <v>254</v>
      </c>
      <c r="C116" s="11" t="s">
        <v>461</v>
      </c>
      <c r="D116" s="11" t="s">
        <v>635</v>
      </c>
      <c r="E116" s="11" t="s">
        <v>651</v>
      </c>
    </row>
    <row r="117" spans="1:5" x14ac:dyDescent="0.45">
      <c r="A117" s="11" t="s">
        <v>652</v>
      </c>
      <c r="B117" s="11" t="s">
        <v>256</v>
      </c>
      <c r="C117" s="11" t="s">
        <v>457</v>
      </c>
      <c r="D117" s="11" t="s">
        <v>493</v>
      </c>
      <c r="E117" s="11" t="s">
        <v>538</v>
      </c>
    </row>
    <row r="118" spans="1:5" x14ac:dyDescent="0.45">
      <c r="A118" s="11" t="s">
        <v>653</v>
      </c>
      <c r="B118" s="11" t="s">
        <v>256</v>
      </c>
      <c r="C118" s="11" t="s">
        <v>461</v>
      </c>
      <c r="D118" s="11" t="s">
        <v>490</v>
      </c>
      <c r="E118" s="11" t="s">
        <v>654</v>
      </c>
    </row>
    <row r="119" spans="1:5" x14ac:dyDescent="0.45">
      <c r="A119" s="11" t="s">
        <v>655</v>
      </c>
      <c r="B119" s="11" t="s">
        <v>258</v>
      </c>
      <c r="C119" s="11" t="s">
        <v>457</v>
      </c>
      <c r="D119" s="11" t="s">
        <v>483</v>
      </c>
      <c r="E119" s="11" t="s">
        <v>509</v>
      </c>
    </row>
    <row r="120" spans="1:5" x14ac:dyDescent="0.45">
      <c r="A120" s="11" t="s">
        <v>656</v>
      </c>
      <c r="B120" s="11" t="s">
        <v>261</v>
      </c>
      <c r="C120" s="11" t="s">
        <v>457</v>
      </c>
      <c r="D120" s="11" t="s">
        <v>493</v>
      </c>
      <c r="E120" s="11" t="s">
        <v>494</v>
      </c>
    </row>
    <row r="121" spans="1:5" x14ac:dyDescent="0.45">
      <c r="A121" s="11" t="s">
        <v>657</v>
      </c>
      <c r="B121" s="11" t="s">
        <v>262</v>
      </c>
      <c r="C121" s="11" t="s">
        <v>457</v>
      </c>
      <c r="D121" s="11" t="s">
        <v>493</v>
      </c>
      <c r="E121" s="11" t="s">
        <v>499</v>
      </c>
    </row>
    <row r="122" spans="1:5" x14ac:dyDescent="0.45">
      <c r="A122" s="11" t="s">
        <v>658</v>
      </c>
      <c r="B122" s="11" t="s">
        <v>262</v>
      </c>
      <c r="C122" s="11" t="s">
        <v>461</v>
      </c>
      <c r="D122" s="11" t="s">
        <v>480</v>
      </c>
      <c r="E122" s="11" t="s">
        <v>659</v>
      </c>
    </row>
    <row r="123" spans="1:5" x14ac:dyDescent="0.45">
      <c r="A123" s="11" t="s">
        <v>660</v>
      </c>
      <c r="B123" s="11" t="s">
        <v>264</v>
      </c>
      <c r="C123" s="11" t="s">
        <v>457</v>
      </c>
      <c r="D123" s="11" t="s">
        <v>458</v>
      </c>
      <c r="E123" s="11" t="s">
        <v>478</v>
      </c>
    </row>
    <row r="124" spans="1:5" x14ac:dyDescent="0.45">
      <c r="A124" s="11" t="s">
        <v>661</v>
      </c>
      <c r="B124" s="11" t="s">
        <v>264</v>
      </c>
      <c r="C124" s="11" t="s">
        <v>461</v>
      </c>
      <c r="D124" s="11" t="s">
        <v>662</v>
      </c>
      <c r="E124" s="11" t="s">
        <v>663</v>
      </c>
    </row>
    <row r="125" spans="1:5" x14ac:dyDescent="0.45">
      <c r="A125" s="11" t="s">
        <v>664</v>
      </c>
      <c r="B125" s="11" t="s">
        <v>269</v>
      </c>
      <c r="C125" s="11" t="s">
        <v>457</v>
      </c>
      <c r="D125" s="11" t="s">
        <v>458</v>
      </c>
      <c r="E125" s="11" t="s">
        <v>459</v>
      </c>
    </row>
    <row r="126" spans="1:5" x14ac:dyDescent="0.45">
      <c r="A126" s="11" t="s">
        <v>665</v>
      </c>
      <c r="B126" s="11" t="s">
        <v>269</v>
      </c>
      <c r="C126" s="11" t="s">
        <v>461</v>
      </c>
      <c r="D126" s="11" t="s">
        <v>462</v>
      </c>
      <c r="E126" s="11" t="s">
        <v>463</v>
      </c>
    </row>
    <row r="127" spans="1:5" x14ac:dyDescent="0.45">
      <c r="A127" s="11" t="s">
        <v>666</v>
      </c>
      <c r="B127" s="11" t="s">
        <v>271</v>
      </c>
      <c r="C127" s="11" t="s">
        <v>457</v>
      </c>
      <c r="D127" s="11" t="s">
        <v>465</v>
      </c>
      <c r="E127" s="11" t="s">
        <v>466</v>
      </c>
    </row>
    <row r="128" spans="1:5" x14ac:dyDescent="0.45">
      <c r="A128" s="11" t="s">
        <v>667</v>
      </c>
      <c r="B128" s="11" t="s">
        <v>274</v>
      </c>
      <c r="C128" s="11" t="s">
        <v>457</v>
      </c>
      <c r="D128" s="11" t="s">
        <v>493</v>
      </c>
      <c r="E128" s="11" t="s">
        <v>494</v>
      </c>
    </row>
    <row r="129" spans="1:5" x14ac:dyDescent="0.45">
      <c r="A129" s="11" t="s">
        <v>668</v>
      </c>
      <c r="B129" s="11" t="s">
        <v>274</v>
      </c>
      <c r="C129" s="11" t="s">
        <v>461</v>
      </c>
      <c r="D129" s="11" t="s">
        <v>635</v>
      </c>
      <c r="E129" s="11" t="s">
        <v>669</v>
      </c>
    </row>
    <row r="130" spans="1:5" x14ac:dyDescent="0.45">
      <c r="A130" s="11" t="s">
        <v>670</v>
      </c>
      <c r="B130" s="11" t="s">
        <v>276</v>
      </c>
      <c r="C130" s="11" t="s">
        <v>457</v>
      </c>
      <c r="D130" s="11" t="s">
        <v>483</v>
      </c>
      <c r="E130" s="11" t="s">
        <v>534</v>
      </c>
    </row>
    <row r="131" spans="1:5" x14ac:dyDescent="0.45">
      <c r="A131" s="11" t="s">
        <v>671</v>
      </c>
      <c r="B131" s="11" t="s">
        <v>276</v>
      </c>
      <c r="C131" s="11" t="s">
        <v>461</v>
      </c>
      <c r="D131" s="11" t="s">
        <v>522</v>
      </c>
      <c r="E131" s="11" t="s">
        <v>672</v>
      </c>
    </row>
    <row r="132" spans="1:5" x14ac:dyDescent="0.45">
      <c r="A132" s="11" t="s">
        <v>673</v>
      </c>
      <c r="B132" s="11" t="s">
        <v>277</v>
      </c>
      <c r="C132" s="11" t="s">
        <v>457</v>
      </c>
      <c r="D132" s="11" t="s">
        <v>458</v>
      </c>
      <c r="E132" s="11" t="s">
        <v>478</v>
      </c>
    </row>
    <row r="133" spans="1:5" x14ac:dyDescent="0.45">
      <c r="A133" s="11" t="s">
        <v>674</v>
      </c>
      <c r="B133" s="11" t="s">
        <v>277</v>
      </c>
      <c r="C133" s="11" t="s">
        <v>461</v>
      </c>
      <c r="D133" s="11" t="s">
        <v>606</v>
      </c>
      <c r="E133" s="11" t="s">
        <v>675</v>
      </c>
    </row>
    <row r="134" spans="1:5" x14ac:dyDescent="0.45">
      <c r="A134" s="11" t="s">
        <v>676</v>
      </c>
      <c r="B134" s="11" t="s">
        <v>278</v>
      </c>
      <c r="C134" s="11" t="s">
        <v>457</v>
      </c>
      <c r="D134" s="11" t="s">
        <v>465</v>
      </c>
      <c r="E134" s="11" t="s">
        <v>507</v>
      </c>
    </row>
    <row r="135" spans="1:5" x14ac:dyDescent="0.45">
      <c r="A135" s="11" t="s">
        <v>677</v>
      </c>
      <c r="B135" s="11" t="s">
        <v>278</v>
      </c>
      <c r="C135" s="11" t="s">
        <v>461</v>
      </c>
      <c r="D135" s="11" t="s">
        <v>635</v>
      </c>
      <c r="E135" s="11" t="s">
        <v>678</v>
      </c>
    </row>
    <row r="136" spans="1:5" x14ac:dyDescent="0.45">
      <c r="A136" s="11" t="s">
        <v>679</v>
      </c>
      <c r="B136" s="11" t="s">
        <v>281</v>
      </c>
      <c r="C136" s="11" t="s">
        <v>457</v>
      </c>
      <c r="D136" s="11" t="s">
        <v>483</v>
      </c>
      <c r="E136" s="11" t="s">
        <v>509</v>
      </c>
    </row>
    <row r="137" spans="1:5" x14ac:dyDescent="0.45">
      <c r="A137" s="11" t="s">
        <v>680</v>
      </c>
      <c r="B137" s="11" t="s">
        <v>281</v>
      </c>
      <c r="C137" s="11" t="s">
        <v>461</v>
      </c>
      <c r="D137" s="11" t="s">
        <v>527</v>
      </c>
      <c r="E137" s="11" t="s">
        <v>528</v>
      </c>
    </row>
    <row r="138" spans="1:5" x14ac:dyDescent="0.45">
      <c r="A138" s="11" t="s">
        <v>681</v>
      </c>
      <c r="B138" s="11" t="s">
        <v>283</v>
      </c>
      <c r="C138" s="11" t="s">
        <v>457</v>
      </c>
      <c r="D138" s="11" t="s">
        <v>483</v>
      </c>
      <c r="E138" s="11" t="s">
        <v>543</v>
      </c>
    </row>
    <row r="139" spans="1:5" x14ac:dyDescent="0.45">
      <c r="A139" s="11" t="s">
        <v>682</v>
      </c>
      <c r="B139" s="11" t="s">
        <v>283</v>
      </c>
      <c r="C139" s="11" t="s">
        <v>461</v>
      </c>
      <c r="D139" s="11" t="s">
        <v>462</v>
      </c>
      <c r="E139" s="11" t="s">
        <v>683</v>
      </c>
    </row>
    <row r="140" spans="1:5" x14ac:dyDescent="0.45">
      <c r="A140" s="11" t="s">
        <v>684</v>
      </c>
      <c r="B140" s="11" t="s">
        <v>286</v>
      </c>
      <c r="C140" s="11" t="s">
        <v>457</v>
      </c>
      <c r="D140" s="11" t="s">
        <v>483</v>
      </c>
      <c r="E140" s="11" t="s">
        <v>534</v>
      </c>
    </row>
    <row r="141" spans="1:5" x14ac:dyDescent="0.45">
      <c r="A141" s="11" t="s">
        <v>685</v>
      </c>
      <c r="B141" s="11" t="s">
        <v>288</v>
      </c>
      <c r="C141" s="11" t="s">
        <v>457</v>
      </c>
      <c r="D141" s="11" t="s">
        <v>465</v>
      </c>
      <c r="E141" s="11" t="s">
        <v>563</v>
      </c>
    </row>
    <row r="142" spans="1:5" x14ac:dyDescent="0.45">
      <c r="A142" s="11" t="s">
        <v>686</v>
      </c>
      <c r="B142" s="11" t="s">
        <v>289</v>
      </c>
      <c r="C142" s="11" t="s">
        <v>457</v>
      </c>
      <c r="D142" s="11" t="s">
        <v>493</v>
      </c>
      <c r="E142" s="11" t="s">
        <v>538</v>
      </c>
    </row>
    <row r="143" spans="1:5" x14ac:dyDescent="0.45">
      <c r="A143" s="11" t="s">
        <v>687</v>
      </c>
      <c r="B143" s="11" t="s">
        <v>289</v>
      </c>
      <c r="C143" s="11" t="s">
        <v>461</v>
      </c>
      <c r="D143" s="11" t="s">
        <v>688</v>
      </c>
      <c r="E143" s="11" t="s">
        <v>689</v>
      </c>
    </row>
    <row r="144" spans="1:5" x14ac:dyDescent="0.45">
      <c r="A144" s="11" t="s">
        <v>690</v>
      </c>
      <c r="B144" s="11" t="s">
        <v>291</v>
      </c>
      <c r="C144" s="11" t="s">
        <v>457</v>
      </c>
      <c r="D144" s="11" t="s">
        <v>465</v>
      </c>
      <c r="E144" s="11" t="s">
        <v>466</v>
      </c>
    </row>
    <row r="145" spans="1:5" x14ac:dyDescent="0.45">
      <c r="A145" s="11" t="s">
        <v>691</v>
      </c>
      <c r="B145" s="11" t="s">
        <v>291</v>
      </c>
      <c r="C145" s="11" t="s">
        <v>461</v>
      </c>
      <c r="D145" s="11" t="s">
        <v>692</v>
      </c>
      <c r="E145" s="11" t="s">
        <v>693</v>
      </c>
    </row>
    <row r="146" spans="1:5" x14ac:dyDescent="0.45">
      <c r="A146" s="11" t="s">
        <v>694</v>
      </c>
      <c r="B146" s="11" t="s">
        <v>295</v>
      </c>
      <c r="C146" s="11" t="s">
        <v>457</v>
      </c>
      <c r="D146" s="11" t="s">
        <v>483</v>
      </c>
      <c r="E146" s="11" t="s">
        <v>543</v>
      </c>
    </row>
    <row r="147" spans="1:5" x14ac:dyDescent="0.45">
      <c r="A147" s="11" t="s">
        <v>695</v>
      </c>
      <c r="B147" s="11" t="s">
        <v>295</v>
      </c>
      <c r="C147" s="11" t="s">
        <v>461</v>
      </c>
      <c r="D147" s="11" t="s">
        <v>504</v>
      </c>
      <c r="E147" s="11" t="s">
        <v>639</v>
      </c>
    </row>
    <row r="148" spans="1:5" x14ac:dyDescent="0.45">
      <c r="A148" s="11" t="s">
        <v>696</v>
      </c>
      <c r="B148" s="11" t="s">
        <v>296</v>
      </c>
      <c r="C148" s="11" t="s">
        <v>457</v>
      </c>
      <c r="D148" s="11" t="s">
        <v>483</v>
      </c>
      <c r="E148" s="11" t="s">
        <v>534</v>
      </c>
    </row>
    <row r="149" spans="1:5" x14ac:dyDescent="0.45">
      <c r="A149" s="11" t="s">
        <v>697</v>
      </c>
      <c r="B149" s="11" t="s">
        <v>296</v>
      </c>
      <c r="C149" s="11" t="s">
        <v>461</v>
      </c>
      <c r="D149" s="11" t="s">
        <v>602</v>
      </c>
      <c r="E149" s="11" t="s">
        <v>642</v>
      </c>
    </row>
    <row r="150" spans="1:5" x14ac:dyDescent="0.45">
      <c r="A150" s="11" t="s">
        <v>698</v>
      </c>
      <c r="B150" s="11" t="s">
        <v>299</v>
      </c>
      <c r="C150" s="11" t="s">
        <v>457</v>
      </c>
      <c r="D150" s="11" t="s">
        <v>493</v>
      </c>
      <c r="E150" s="11" t="s">
        <v>517</v>
      </c>
    </row>
    <row r="151" spans="1:5" x14ac:dyDescent="0.45">
      <c r="A151" s="11" t="s">
        <v>699</v>
      </c>
      <c r="B151" s="11" t="s">
        <v>300</v>
      </c>
      <c r="C151" s="11" t="s">
        <v>457</v>
      </c>
      <c r="D151" s="11" t="s">
        <v>465</v>
      </c>
      <c r="E151" s="11" t="s">
        <v>507</v>
      </c>
    </row>
    <row r="152" spans="1:5" x14ac:dyDescent="0.45">
      <c r="A152" s="11" t="s">
        <v>700</v>
      </c>
      <c r="B152" s="11" t="s">
        <v>300</v>
      </c>
      <c r="C152" s="11" t="s">
        <v>461</v>
      </c>
      <c r="D152" s="11" t="s">
        <v>527</v>
      </c>
      <c r="E152" s="11" t="s">
        <v>540</v>
      </c>
    </row>
    <row r="153" spans="1:5" x14ac:dyDescent="0.45">
      <c r="A153" s="11" t="s">
        <v>701</v>
      </c>
      <c r="B153" s="11" t="s">
        <v>301</v>
      </c>
      <c r="C153" s="11" t="s">
        <v>457</v>
      </c>
      <c r="D153" s="11" t="s">
        <v>483</v>
      </c>
      <c r="E153" s="11" t="s">
        <v>509</v>
      </c>
    </row>
    <row r="154" spans="1:5" x14ac:dyDescent="0.45">
      <c r="A154" s="11" t="s">
        <v>702</v>
      </c>
      <c r="B154" s="11" t="s">
        <v>301</v>
      </c>
      <c r="C154" s="11" t="s">
        <v>461</v>
      </c>
      <c r="D154" s="11" t="s">
        <v>490</v>
      </c>
      <c r="E154" s="11" t="s">
        <v>491</v>
      </c>
    </row>
    <row r="155" spans="1:5" x14ac:dyDescent="0.45">
      <c r="A155" s="11" t="s">
        <v>703</v>
      </c>
      <c r="B155" s="11" t="s">
        <v>303</v>
      </c>
      <c r="C155" s="11" t="s">
        <v>457</v>
      </c>
      <c r="D155" s="11" t="s">
        <v>483</v>
      </c>
      <c r="E155" s="11" t="s">
        <v>543</v>
      </c>
    </row>
    <row r="156" spans="1:5" x14ac:dyDescent="0.45">
      <c r="A156" s="11" t="s">
        <v>704</v>
      </c>
      <c r="B156" s="11" t="s">
        <v>303</v>
      </c>
      <c r="C156" s="11" t="s">
        <v>461</v>
      </c>
      <c r="D156" s="11" t="s">
        <v>522</v>
      </c>
      <c r="E156" s="11" t="s">
        <v>705</v>
      </c>
    </row>
    <row r="157" spans="1:5" x14ac:dyDescent="0.45">
      <c r="A157" s="11" t="s">
        <v>706</v>
      </c>
      <c r="B157" s="11" t="s">
        <v>305</v>
      </c>
      <c r="C157" s="11" t="s">
        <v>457</v>
      </c>
      <c r="D157" s="11" t="s">
        <v>458</v>
      </c>
      <c r="E157" s="11" t="s">
        <v>512</v>
      </c>
    </row>
    <row r="158" spans="1:5" x14ac:dyDescent="0.45">
      <c r="A158" s="11" t="s">
        <v>707</v>
      </c>
      <c r="B158" s="11" t="s">
        <v>308</v>
      </c>
      <c r="C158" s="11" t="s">
        <v>457</v>
      </c>
      <c r="D158" s="11" t="s">
        <v>483</v>
      </c>
      <c r="E158" s="11" t="s">
        <v>536</v>
      </c>
    </row>
    <row r="159" spans="1:5" x14ac:dyDescent="0.45">
      <c r="A159" s="11" t="s">
        <v>708</v>
      </c>
      <c r="B159" s="11" t="s">
        <v>308</v>
      </c>
      <c r="C159" s="11" t="s">
        <v>461</v>
      </c>
      <c r="D159" s="11" t="s">
        <v>709</v>
      </c>
      <c r="E159" s="11" t="s">
        <v>710</v>
      </c>
    </row>
    <row r="160" spans="1:5" x14ac:dyDescent="0.45">
      <c r="A160" s="11" t="s">
        <v>711</v>
      </c>
      <c r="B160" s="11" t="s">
        <v>310</v>
      </c>
      <c r="C160" s="11" t="s">
        <v>457</v>
      </c>
      <c r="D160" s="11" t="s">
        <v>465</v>
      </c>
      <c r="E160" s="11" t="s">
        <v>507</v>
      </c>
    </row>
    <row r="161" spans="1:5" x14ac:dyDescent="0.45">
      <c r="A161" s="11" t="s">
        <v>712</v>
      </c>
      <c r="B161" s="11" t="s">
        <v>310</v>
      </c>
      <c r="C161" s="11" t="s">
        <v>461</v>
      </c>
      <c r="D161" s="11" t="s">
        <v>490</v>
      </c>
      <c r="E161" s="11" t="s">
        <v>654</v>
      </c>
    </row>
    <row r="162" spans="1:5" x14ac:dyDescent="0.45">
      <c r="A162" s="11" t="s">
        <v>713</v>
      </c>
      <c r="B162" s="11" t="s">
        <v>312</v>
      </c>
      <c r="C162" s="11" t="s">
        <v>457</v>
      </c>
      <c r="D162" s="11" t="s">
        <v>493</v>
      </c>
      <c r="E162" s="11" t="s">
        <v>714</v>
      </c>
    </row>
    <row r="163" spans="1:5" x14ac:dyDescent="0.45">
      <c r="A163" s="11" t="s">
        <v>715</v>
      </c>
      <c r="B163" s="11" t="s">
        <v>312</v>
      </c>
      <c r="C163" s="11" t="s">
        <v>461</v>
      </c>
      <c r="D163" s="11" t="s">
        <v>547</v>
      </c>
      <c r="E163" s="11" t="s">
        <v>716</v>
      </c>
    </row>
    <row r="164" spans="1:5" x14ac:dyDescent="0.45">
      <c r="A164" s="11" t="s">
        <v>717</v>
      </c>
      <c r="B164" s="11" t="s">
        <v>314</v>
      </c>
      <c r="C164" s="11" t="s">
        <v>457</v>
      </c>
      <c r="D164" s="11" t="s">
        <v>465</v>
      </c>
      <c r="E164" s="11" t="s">
        <v>471</v>
      </c>
    </row>
    <row r="165" spans="1:5" x14ac:dyDescent="0.45">
      <c r="A165" s="11" t="s">
        <v>718</v>
      </c>
      <c r="B165" s="11" t="s">
        <v>316</v>
      </c>
      <c r="C165" s="11" t="s">
        <v>457</v>
      </c>
      <c r="D165" s="11" t="s">
        <v>458</v>
      </c>
      <c r="E165" s="11" t="s">
        <v>512</v>
      </c>
    </row>
    <row r="166" spans="1:5" x14ac:dyDescent="0.45">
      <c r="A166" s="11" t="s">
        <v>719</v>
      </c>
      <c r="B166" s="11" t="s">
        <v>316</v>
      </c>
      <c r="C166" s="11" t="s">
        <v>461</v>
      </c>
      <c r="D166" s="11" t="s">
        <v>709</v>
      </c>
      <c r="E166" s="11" t="s">
        <v>720</v>
      </c>
    </row>
    <row r="167" spans="1:5" x14ac:dyDescent="0.45">
      <c r="A167" s="11" t="s">
        <v>721</v>
      </c>
      <c r="B167" s="11" t="s">
        <v>318</v>
      </c>
      <c r="C167" s="11" t="s">
        <v>457</v>
      </c>
      <c r="D167" s="11" t="s">
        <v>483</v>
      </c>
      <c r="E167" s="11" t="s">
        <v>536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16" customWidth="1"/>
    <col min="4" max="4" width="18" customWidth="1"/>
    <col min="5" max="5" width="32" customWidth="1"/>
    <col min="6" max="6" width="14" customWidth="1"/>
    <col min="7" max="7" width="34" customWidth="1"/>
  </cols>
  <sheetData>
    <row r="1" spans="1:7" ht="30" customHeight="1" x14ac:dyDescent="0.45">
      <c r="A1" s="10" t="s">
        <v>722</v>
      </c>
      <c r="B1" s="10" t="s">
        <v>66</v>
      </c>
      <c r="C1" s="10" t="s">
        <v>723</v>
      </c>
      <c r="D1" s="10" t="s">
        <v>724</v>
      </c>
      <c r="E1" s="10" t="s">
        <v>725</v>
      </c>
      <c r="F1" s="10" t="s">
        <v>726</v>
      </c>
      <c r="G1" s="10" t="s">
        <v>5</v>
      </c>
    </row>
    <row r="2" spans="1:7" x14ac:dyDescent="0.45">
      <c r="A2" s="11" t="s">
        <v>727</v>
      </c>
      <c r="B2" s="11" t="s">
        <v>73</v>
      </c>
      <c r="C2" s="12">
        <v>46277</v>
      </c>
      <c r="D2" s="11" t="s">
        <v>728</v>
      </c>
      <c r="E2" s="11" t="s">
        <v>729</v>
      </c>
      <c r="F2" s="11" t="s">
        <v>730</v>
      </c>
      <c r="G2" s="11" t="s">
        <v>731</v>
      </c>
    </row>
    <row r="3" spans="1:7" x14ac:dyDescent="0.45">
      <c r="A3" s="11" t="s">
        <v>732</v>
      </c>
      <c r="B3" s="11" t="s">
        <v>76</v>
      </c>
      <c r="C3" s="12">
        <v>46210</v>
      </c>
      <c r="D3" s="11" t="s">
        <v>733</v>
      </c>
      <c r="E3" s="11" t="s">
        <v>734</v>
      </c>
      <c r="F3" s="11" t="s">
        <v>735</v>
      </c>
      <c r="G3" s="11" t="s">
        <v>736</v>
      </c>
    </row>
    <row r="4" spans="1:7" x14ac:dyDescent="0.45">
      <c r="A4" s="11" t="s">
        <v>737</v>
      </c>
      <c r="B4" s="11" t="s">
        <v>80</v>
      </c>
      <c r="C4" s="12">
        <v>46187</v>
      </c>
      <c r="D4" s="11" t="s">
        <v>738</v>
      </c>
      <c r="E4" s="11" t="s">
        <v>739</v>
      </c>
      <c r="F4" s="11" t="s">
        <v>740</v>
      </c>
      <c r="G4" s="11" t="s">
        <v>736</v>
      </c>
    </row>
    <row r="5" spans="1:7" x14ac:dyDescent="0.45">
      <c r="A5" s="11" t="s">
        <v>741</v>
      </c>
      <c r="B5" s="11" t="s">
        <v>80</v>
      </c>
      <c r="C5" s="12">
        <v>46195</v>
      </c>
      <c r="D5" s="11" t="s">
        <v>738</v>
      </c>
      <c r="E5" s="11" t="s">
        <v>739</v>
      </c>
      <c r="F5" s="11" t="s">
        <v>742</v>
      </c>
      <c r="G5" s="11" t="s">
        <v>743</v>
      </c>
    </row>
    <row r="6" spans="1:7" x14ac:dyDescent="0.45">
      <c r="A6" s="11" t="s">
        <v>744</v>
      </c>
      <c r="B6" s="11" t="s">
        <v>89</v>
      </c>
      <c r="C6" s="12">
        <v>46209</v>
      </c>
      <c r="D6" s="11" t="s">
        <v>745</v>
      </c>
      <c r="E6" s="11" t="s">
        <v>746</v>
      </c>
      <c r="F6" s="11" t="s">
        <v>747</v>
      </c>
      <c r="G6" s="11" t="s">
        <v>748</v>
      </c>
    </row>
    <row r="7" spans="1:7" x14ac:dyDescent="0.45">
      <c r="A7" s="11" t="s">
        <v>749</v>
      </c>
      <c r="B7" s="11" t="s">
        <v>92</v>
      </c>
      <c r="C7" s="12">
        <v>46249</v>
      </c>
      <c r="D7" s="11" t="s">
        <v>750</v>
      </c>
      <c r="E7" s="11" t="s">
        <v>751</v>
      </c>
      <c r="F7" s="11" t="s">
        <v>752</v>
      </c>
      <c r="G7" s="11" t="s">
        <v>753</v>
      </c>
    </row>
    <row r="8" spans="1:7" x14ac:dyDescent="0.45">
      <c r="A8" s="11" t="s">
        <v>754</v>
      </c>
      <c r="B8" s="11" t="s">
        <v>113</v>
      </c>
      <c r="C8" s="12">
        <v>46242</v>
      </c>
      <c r="D8" s="11" t="s">
        <v>755</v>
      </c>
      <c r="E8" s="11" t="s">
        <v>756</v>
      </c>
      <c r="F8" s="11" t="s">
        <v>757</v>
      </c>
      <c r="G8" s="11" t="s">
        <v>731</v>
      </c>
    </row>
    <row r="9" spans="1:7" x14ac:dyDescent="0.45">
      <c r="A9" s="11" t="s">
        <v>758</v>
      </c>
      <c r="B9" s="11" t="s">
        <v>118</v>
      </c>
      <c r="C9" s="12">
        <v>46277</v>
      </c>
      <c r="D9" s="11" t="s">
        <v>759</v>
      </c>
      <c r="E9" s="11" t="s">
        <v>760</v>
      </c>
      <c r="F9" s="11" t="s">
        <v>761</v>
      </c>
      <c r="G9" s="11" t="s">
        <v>748</v>
      </c>
    </row>
    <row r="10" spans="1:7" x14ac:dyDescent="0.45">
      <c r="A10" s="11" t="s">
        <v>762</v>
      </c>
      <c r="B10" s="11" t="s">
        <v>127</v>
      </c>
      <c r="C10" s="12">
        <v>46256</v>
      </c>
      <c r="D10" s="11" t="s">
        <v>763</v>
      </c>
      <c r="E10" s="11" t="s">
        <v>764</v>
      </c>
      <c r="F10" s="11" t="s">
        <v>765</v>
      </c>
      <c r="G10" s="11" t="s">
        <v>736</v>
      </c>
    </row>
    <row r="11" spans="1:7" x14ac:dyDescent="0.45">
      <c r="A11" s="11" t="s">
        <v>766</v>
      </c>
      <c r="B11" s="11" t="s">
        <v>129</v>
      </c>
      <c r="C11" s="12">
        <v>46208</v>
      </c>
      <c r="D11" s="11" t="s">
        <v>767</v>
      </c>
      <c r="E11" s="11" t="s">
        <v>768</v>
      </c>
      <c r="F11" s="11" t="s">
        <v>769</v>
      </c>
      <c r="G11" s="11" t="s">
        <v>748</v>
      </c>
    </row>
    <row r="12" spans="1:7" x14ac:dyDescent="0.45">
      <c r="A12" s="11" t="s">
        <v>770</v>
      </c>
      <c r="B12" s="11" t="s">
        <v>129</v>
      </c>
      <c r="C12" s="12">
        <v>46213</v>
      </c>
      <c r="D12" s="11" t="s">
        <v>767</v>
      </c>
      <c r="E12" s="11" t="s">
        <v>768</v>
      </c>
      <c r="F12" s="11" t="s">
        <v>771</v>
      </c>
      <c r="G12" s="11" t="s">
        <v>743</v>
      </c>
    </row>
    <row r="13" spans="1:7" x14ac:dyDescent="0.45">
      <c r="A13" s="11" t="s">
        <v>772</v>
      </c>
      <c r="B13" s="11" t="s">
        <v>132</v>
      </c>
      <c r="C13" s="12">
        <v>46279</v>
      </c>
      <c r="D13" s="11" t="s">
        <v>773</v>
      </c>
      <c r="E13" s="11" t="s">
        <v>774</v>
      </c>
      <c r="F13" s="11" t="s">
        <v>775</v>
      </c>
      <c r="G13" s="11" t="s">
        <v>736</v>
      </c>
    </row>
    <row r="14" spans="1:7" x14ac:dyDescent="0.45">
      <c r="A14" s="11" t="s">
        <v>776</v>
      </c>
      <c r="B14" s="11" t="s">
        <v>134</v>
      </c>
      <c r="C14" s="12">
        <v>46183</v>
      </c>
      <c r="D14" s="11" t="s">
        <v>777</v>
      </c>
      <c r="E14" s="11" t="s">
        <v>778</v>
      </c>
      <c r="F14" s="11" t="s">
        <v>779</v>
      </c>
      <c r="G14" s="11" t="s">
        <v>748</v>
      </c>
    </row>
    <row r="15" spans="1:7" x14ac:dyDescent="0.45">
      <c r="A15" s="11" t="s">
        <v>780</v>
      </c>
      <c r="B15" s="11" t="s">
        <v>136</v>
      </c>
      <c r="C15" s="12">
        <v>46226</v>
      </c>
      <c r="D15" s="11" t="s">
        <v>781</v>
      </c>
      <c r="E15" s="11" t="s">
        <v>782</v>
      </c>
      <c r="F15" s="11" t="s">
        <v>783</v>
      </c>
      <c r="G15" s="11" t="s">
        <v>753</v>
      </c>
    </row>
    <row r="16" spans="1:7" x14ac:dyDescent="0.45">
      <c r="A16" s="11" t="s">
        <v>784</v>
      </c>
      <c r="B16" s="11" t="s">
        <v>139</v>
      </c>
      <c r="C16" s="12">
        <v>46206</v>
      </c>
      <c r="D16" s="11" t="s">
        <v>785</v>
      </c>
      <c r="E16" s="11" t="s">
        <v>786</v>
      </c>
      <c r="F16" s="11" t="s">
        <v>787</v>
      </c>
      <c r="G16" s="11" t="s">
        <v>753</v>
      </c>
    </row>
    <row r="17" spans="1:7" x14ac:dyDescent="0.45">
      <c r="A17" s="11" t="s">
        <v>788</v>
      </c>
      <c r="B17" s="11" t="s">
        <v>141</v>
      </c>
      <c r="C17" s="12">
        <v>46189</v>
      </c>
      <c r="D17" s="11" t="s">
        <v>789</v>
      </c>
      <c r="E17" s="11" t="s">
        <v>790</v>
      </c>
      <c r="F17" s="11" t="s">
        <v>791</v>
      </c>
      <c r="G17" s="11" t="s">
        <v>736</v>
      </c>
    </row>
    <row r="18" spans="1:7" x14ac:dyDescent="0.45">
      <c r="A18" s="11" t="s">
        <v>792</v>
      </c>
      <c r="B18" s="11" t="s">
        <v>147</v>
      </c>
      <c r="C18" s="12">
        <v>46202</v>
      </c>
      <c r="D18" s="11" t="s">
        <v>793</v>
      </c>
      <c r="E18" s="11" t="s">
        <v>794</v>
      </c>
      <c r="F18" s="11" t="s">
        <v>795</v>
      </c>
      <c r="G18" s="11" t="s">
        <v>753</v>
      </c>
    </row>
    <row r="19" spans="1:7" x14ac:dyDescent="0.45">
      <c r="A19" s="11" t="s">
        <v>796</v>
      </c>
      <c r="B19" s="11" t="s">
        <v>160</v>
      </c>
      <c r="C19" s="12">
        <v>46241</v>
      </c>
      <c r="D19" s="11" t="s">
        <v>797</v>
      </c>
      <c r="E19" s="11" t="s">
        <v>798</v>
      </c>
      <c r="F19" s="11" t="s">
        <v>799</v>
      </c>
      <c r="G19" s="11" t="s">
        <v>753</v>
      </c>
    </row>
    <row r="20" spans="1:7" x14ac:dyDescent="0.45">
      <c r="A20" s="11" t="s">
        <v>800</v>
      </c>
      <c r="B20" s="11" t="s">
        <v>162</v>
      </c>
      <c r="C20" s="12">
        <v>46259</v>
      </c>
      <c r="D20" s="11" t="s">
        <v>801</v>
      </c>
      <c r="E20" s="11" t="s">
        <v>802</v>
      </c>
      <c r="F20" s="11" t="s">
        <v>803</v>
      </c>
      <c r="G20" s="11" t="s">
        <v>753</v>
      </c>
    </row>
    <row r="21" spans="1:7" x14ac:dyDescent="0.45">
      <c r="A21" s="11" t="s">
        <v>804</v>
      </c>
      <c r="B21" s="11" t="s">
        <v>164</v>
      </c>
      <c r="C21" s="12">
        <v>46277</v>
      </c>
      <c r="D21" s="11" t="s">
        <v>805</v>
      </c>
      <c r="E21" s="11" t="s">
        <v>806</v>
      </c>
      <c r="F21" s="11" t="s">
        <v>807</v>
      </c>
      <c r="G21" s="11" t="s">
        <v>731</v>
      </c>
    </row>
    <row r="22" spans="1:7" x14ac:dyDescent="0.45">
      <c r="A22" s="11" t="s">
        <v>808</v>
      </c>
      <c r="B22" s="11" t="s">
        <v>164</v>
      </c>
      <c r="C22" s="12">
        <v>46282</v>
      </c>
      <c r="D22" s="11" t="s">
        <v>805</v>
      </c>
      <c r="E22" s="11" t="s">
        <v>806</v>
      </c>
      <c r="F22" s="11" t="s">
        <v>809</v>
      </c>
      <c r="G22" s="11" t="s">
        <v>810</v>
      </c>
    </row>
    <row r="23" spans="1:7" x14ac:dyDescent="0.45">
      <c r="A23" s="11" t="s">
        <v>811</v>
      </c>
      <c r="B23" s="11" t="s">
        <v>166</v>
      </c>
      <c r="C23" s="12">
        <v>46280</v>
      </c>
      <c r="D23" s="11" t="s">
        <v>812</v>
      </c>
      <c r="E23" s="11" t="s">
        <v>813</v>
      </c>
      <c r="F23" s="11" t="s">
        <v>814</v>
      </c>
      <c r="G23" s="11" t="s">
        <v>748</v>
      </c>
    </row>
    <row r="24" spans="1:7" x14ac:dyDescent="0.45">
      <c r="A24" s="11" t="s">
        <v>815</v>
      </c>
      <c r="B24" s="11" t="s">
        <v>176</v>
      </c>
      <c r="C24" s="12">
        <v>46281</v>
      </c>
      <c r="D24" s="11" t="s">
        <v>816</v>
      </c>
      <c r="E24" s="11" t="s">
        <v>817</v>
      </c>
      <c r="F24" s="11" t="s">
        <v>818</v>
      </c>
      <c r="G24" s="11" t="s">
        <v>731</v>
      </c>
    </row>
    <row r="25" spans="1:7" x14ac:dyDescent="0.45">
      <c r="A25" s="11" t="s">
        <v>819</v>
      </c>
      <c r="B25" s="11" t="s">
        <v>179</v>
      </c>
      <c r="C25" s="12">
        <v>46191</v>
      </c>
      <c r="D25" s="11" t="s">
        <v>820</v>
      </c>
      <c r="E25" s="11" t="s">
        <v>821</v>
      </c>
      <c r="F25" s="11" t="s">
        <v>822</v>
      </c>
      <c r="G25" s="11" t="s">
        <v>823</v>
      </c>
    </row>
    <row r="26" spans="1:7" x14ac:dyDescent="0.45">
      <c r="A26" s="11" t="s">
        <v>824</v>
      </c>
      <c r="B26" s="11" t="s">
        <v>180</v>
      </c>
      <c r="C26" s="12">
        <v>46278</v>
      </c>
      <c r="D26" s="11" t="s">
        <v>825</v>
      </c>
      <c r="E26" s="11" t="s">
        <v>826</v>
      </c>
      <c r="F26" s="11" t="s">
        <v>827</v>
      </c>
      <c r="G26" s="11" t="s">
        <v>736</v>
      </c>
    </row>
    <row r="27" spans="1:7" x14ac:dyDescent="0.45">
      <c r="A27" s="11" t="s">
        <v>828</v>
      </c>
      <c r="B27" s="11" t="s">
        <v>183</v>
      </c>
      <c r="C27" s="12">
        <v>46182</v>
      </c>
      <c r="D27" s="11" t="s">
        <v>829</v>
      </c>
      <c r="E27" s="11" t="s">
        <v>830</v>
      </c>
      <c r="F27" s="11" t="s">
        <v>831</v>
      </c>
      <c r="G27" s="11" t="s">
        <v>823</v>
      </c>
    </row>
    <row r="28" spans="1:7" x14ac:dyDescent="0.45">
      <c r="A28" s="11" t="s">
        <v>832</v>
      </c>
      <c r="B28" s="11" t="s">
        <v>183</v>
      </c>
      <c r="C28" s="12">
        <v>46189</v>
      </c>
      <c r="D28" s="11" t="s">
        <v>829</v>
      </c>
      <c r="E28" s="11" t="s">
        <v>830</v>
      </c>
      <c r="F28" s="11" t="s">
        <v>833</v>
      </c>
      <c r="G28" s="11" t="s">
        <v>834</v>
      </c>
    </row>
    <row r="29" spans="1:7" x14ac:dyDescent="0.45">
      <c r="A29" s="11" t="s">
        <v>835</v>
      </c>
      <c r="B29" s="11" t="s">
        <v>190</v>
      </c>
      <c r="C29" s="12">
        <v>46232</v>
      </c>
      <c r="D29" s="11" t="s">
        <v>836</v>
      </c>
      <c r="E29" s="11" t="s">
        <v>837</v>
      </c>
      <c r="F29" s="11" t="s">
        <v>838</v>
      </c>
      <c r="G29" s="11" t="s">
        <v>753</v>
      </c>
    </row>
    <row r="30" spans="1:7" x14ac:dyDescent="0.45">
      <c r="A30" s="11" t="s">
        <v>839</v>
      </c>
      <c r="B30" s="11" t="s">
        <v>190</v>
      </c>
      <c r="C30" s="12">
        <v>46237</v>
      </c>
      <c r="D30" s="11" t="s">
        <v>836</v>
      </c>
      <c r="E30" s="11" t="s">
        <v>837</v>
      </c>
      <c r="F30" s="11" t="s">
        <v>840</v>
      </c>
      <c r="G30" s="11" t="s">
        <v>810</v>
      </c>
    </row>
    <row r="31" spans="1:7" x14ac:dyDescent="0.45">
      <c r="A31" s="11" t="s">
        <v>841</v>
      </c>
      <c r="B31" s="11" t="s">
        <v>196</v>
      </c>
      <c r="C31" s="12">
        <v>46251</v>
      </c>
      <c r="D31" s="11" t="s">
        <v>797</v>
      </c>
      <c r="E31" s="11" t="s">
        <v>842</v>
      </c>
      <c r="F31" s="11" t="s">
        <v>843</v>
      </c>
      <c r="G31" s="11" t="s">
        <v>731</v>
      </c>
    </row>
    <row r="32" spans="1:7" x14ac:dyDescent="0.45">
      <c r="A32" s="11" t="s">
        <v>844</v>
      </c>
      <c r="B32" s="11" t="s">
        <v>199</v>
      </c>
      <c r="C32" s="12">
        <v>46227</v>
      </c>
      <c r="D32" s="11" t="s">
        <v>728</v>
      </c>
      <c r="E32" s="11" t="s">
        <v>845</v>
      </c>
      <c r="F32" s="11" t="s">
        <v>846</v>
      </c>
      <c r="G32" s="11" t="s">
        <v>731</v>
      </c>
    </row>
    <row r="33" spans="1:7" x14ac:dyDescent="0.45">
      <c r="A33" s="11" t="s">
        <v>847</v>
      </c>
      <c r="B33" s="11" t="s">
        <v>201</v>
      </c>
      <c r="C33" s="12">
        <v>46280</v>
      </c>
      <c r="D33" s="11" t="s">
        <v>848</v>
      </c>
      <c r="E33" s="11" t="s">
        <v>849</v>
      </c>
      <c r="F33" s="11" t="s">
        <v>850</v>
      </c>
      <c r="G33" s="11" t="s">
        <v>753</v>
      </c>
    </row>
    <row r="34" spans="1:7" x14ac:dyDescent="0.45">
      <c r="A34" s="11" t="s">
        <v>851</v>
      </c>
      <c r="B34" s="11" t="s">
        <v>202</v>
      </c>
      <c r="C34" s="12">
        <v>46196</v>
      </c>
      <c r="D34" s="11" t="s">
        <v>852</v>
      </c>
      <c r="E34" s="11" t="s">
        <v>853</v>
      </c>
      <c r="F34" s="11" t="s">
        <v>854</v>
      </c>
      <c r="G34" s="11" t="s">
        <v>731</v>
      </c>
    </row>
    <row r="35" spans="1:7" x14ac:dyDescent="0.45">
      <c r="A35" s="11" t="s">
        <v>855</v>
      </c>
      <c r="B35" s="11" t="s">
        <v>207</v>
      </c>
      <c r="C35" s="12">
        <v>46257</v>
      </c>
      <c r="D35" s="11" t="s">
        <v>856</v>
      </c>
      <c r="E35" s="11" t="s">
        <v>857</v>
      </c>
      <c r="F35" s="11" t="s">
        <v>858</v>
      </c>
      <c r="G35" s="11" t="s">
        <v>736</v>
      </c>
    </row>
    <row r="36" spans="1:7" x14ac:dyDescent="0.45">
      <c r="A36" s="11" t="s">
        <v>859</v>
      </c>
      <c r="B36" s="11" t="s">
        <v>213</v>
      </c>
      <c r="C36" s="12">
        <v>46204</v>
      </c>
      <c r="D36" s="11" t="s">
        <v>860</v>
      </c>
      <c r="E36" s="11" t="s">
        <v>861</v>
      </c>
      <c r="F36" s="11" t="s">
        <v>862</v>
      </c>
      <c r="G36" s="11" t="s">
        <v>823</v>
      </c>
    </row>
    <row r="37" spans="1:7" x14ac:dyDescent="0.45">
      <c r="A37" s="11" t="s">
        <v>863</v>
      </c>
      <c r="B37" s="11" t="s">
        <v>214</v>
      </c>
      <c r="C37" s="12">
        <v>46272</v>
      </c>
      <c r="D37" s="11" t="s">
        <v>864</v>
      </c>
      <c r="E37" s="11" t="s">
        <v>865</v>
      </c>
      <c r="F37" s="11" t="s">
        <v>866</v>
      </c>
      <c r="G37" s="11" t="s">
        <v>748</v>
      </c>
    </row>
    <row r="38" spans="1:7" x14ac:dyDescent="0.45">
      <c r="A38" s="11" t="s">
        <v>867</v>
      </c>
      <c r="B38" s="11" t="s">
        <v>214</v>
      </c>
      <c r="C38" s="12">
        <v>46281</v>
      </c>
      <c r="D38" s="11" t="s">
        <v>864</v>
      </c>
      <c r="E38" s="11" t="s">
        <v>865</v>
      </c>
      <c r="F38" s="11" t="s">
        <v>868</v>
      </c>
      <c r="G38" s="11" t="s">
        <v>869</v>
      </c>
    </row>
    <row r="39" spans="1:7" x14ac:dyDescent="0.45">
      <c r="A39" s="11" t="s">
        <v>870</v>
      </c>
      <c r="B39" s="11" t="s">
        <v>215</v>
      </c>
      <c r="C39" s="12">
        <v>46197</v>
      </c>
      <c r="D39" s="11" t="s">
        <v>871</v>
      </c>
      <c r="E39" s="11" t="s">
        <v>872</v>
      </c>
      <c r="F39" s="11" t="s">
        <v>873</v>
      </c>
      <c r="G39" s="11" t="s">
        <v>736</v>
      </c>
    </row>
    <row r="40" spans="1:7" x14ac:dyDescent="0.45">
      <c r="A40" s="11" t="s">
        <v>874</v>
      </c>
      <c r="B40" s="11" t="s">
        <v>215</v>
      </c>
      <c r="C40" s="12">
        <v>46204</v>
      </c>
      <c r="D40" s="11" t="s">
        <v>871</v>
      </c>
      <c r="E40" s="11" t="s">
        <v>872</v>
      </c>
      <c r="F40" s="11" t="s">
        <v>875</v>
      </c>
      <c r="G40" s="11" t="s">
        <v>876</v>
      </c>
    </row>
    <row r="41" spans="1:7" x14ac:dyDescent="0.45">
      <c r="A41" s="11" t="s">
        <v>877</v>
      </c>
      <c r="B41" s="11" t="s">
        <v>225</v>
      </c>
      <c r="C41" s="12">
        <v>46195</v>
      </c>
      <c r="D41" s="11" t="s">
        <v>878</v>
      </c>
      <c r="E41" s="11" t="s">
        <v>879</v>
      </c>
      <c r="F41" s="11" t="s">
        <v>880</v>
      </c>
      <c r="G41" s="11" t="s">
        <v>748</v>
      </c>
    </row>
    <row r="42" spans="1:7" x14ac:dyDescent="0.45">
      <c r="A42" s="11" t="s">
        <v>881</v>
      </c>
      <c r="B42" s="11" t="s">
        <v>231</v>
      </c>
      <c r="C42" s="12">
        <v>46261</v>
      </c>
      <c r="D42" s="11" t="s">
        <v>882</v>
      </c>
      <c r="E42" s="11" t="s">
        <v>883</v>
      </c>
      <c r="F42" s="11" t="s">
        <v>884</v>
      </c>
      <c r="G42" s="11" t="s">
        <v>753</v>
      </c>
    </row>
    <row r="43" spans="1:7" x14ac:dyDescent="0.45">
      <c r="A43" s="11" t="s">
        <v>885</v>
      </c>
      <c r="B43" s="11" t="s">
        <v>233</v>
      </c>
      <c r="C43" s="12">
        <v>46232</v>
      </c>
      <c r="D43" s="11" t="s">
        <v>886</v>
      </c>
      <c r="E43" s="11" t="s">
        <v>887</v>
      </c>
      <c r="F43" s="11" t="s">
        <v>888</v>
      </c>
      <c r="G43" s="11" t="s">
        <v>753</v>
      </c>
    </row>
    <row r="44" spans="1:7" x14ac:dyDescent="0.45">
      <c r="A44" s="11" t="s">
        <v>889</v>
      </c>
      <c r="B44" s="11" t="s">
        <v>238</v>
      </c>
      <c r="C44" s="12">
        <v>46265</v>
      </c>
      <c r="D44" s="11" t="s">
        <v>890</v>
      </c>
      <c r="E44" s="11" t="s">
        <v>891</v>
      </c>
      <c r="F44" s="11" t="s">
        <v>892</v>
      </c>
      <c r="G44" s="11" t="s">
        <v>736</v>
      </c>
    </row>
    <row r="45" spans="1:7" x14ac:dyDescent="0.45">
      <c r="A45" s="11" t="s">
        <v>893</v>
      </c>
      <c r="B45" s="11" t="s">
        <v>243</v>
      </c>
      <c r="C45" s="12">
        <v>46196</v>
      </c>
      <c r="D45" s="11" t="s">
        <v>763</v>
      </c>
      <c r="E45" s="11" t="s">
        <v>894</v>
      </c>
      <c r="F45" s="11" t="s">
        <v>895</v>
      </c>
      <c r="G45" s="11" t="s">
        <v>736</v>
      </c>
    </row>
    <row r="46" spans="1:7" x14ac:dyDescent="0.45">
      <c r="A46" s="11" t="s">
        <v>896</v>
      </c>
      <c r="B46" s="11" t="s">
        <v>244</v>
      </c>
      <c r="C46" s="12">
        <v>46266</v>
      </c>
      <c r="D46" s="11" t="s">
        <v>897</v>
      </c>
      <c r="E46" s="11" t="s">
        <v>898</v>
      </c>
      <c r="F46" s="11" t="s">
        <v>899</v>
      </c>
      <c r="G46" s="11" t="s">
        <v>823</v>
      </c>
    </row>
    <row r="47" spans="1:7" x14ac:dyDescent="0.45">
      <c r="A47" s="11" t="s">
        <v>900</v>
      </c>
      <c r="B47" s="11" t="s">
        <v>247</v>
      </c>
      <c r="C47" s="12">
        <v>46266</v>
      </c>
      <c r="D47" s="11" t="s">
        <v>901</v>
      </c>
      <c r="E47" s="11" t="s">
        <v>902</v>
      </c>
      <c r="F47" s="11" t="s">
        <v>903</v>
      </c>
      <c r="G47" s="11" t="s">
        <v>753</v>
      </c>
    </row>
    <row r="48" spans="1:7" x14ac:dyDescent="0.45">
      <c r="A48" s="11" t="s">
        <v>904</v>
      </c>
      <c r="B48" s="11" t="s">
        <v>253</v>
      </c>
      <c r="C48" s="12">
        <v>46280</v>
      </c>
      <c r="D48" s="11" t="s">
        <v>905</v>
      </c>
      <c r="E48" s="11" t="s">
        <v>906</v>
      </c>
      <c r="F48" s="11" t="s">
        <v>907</v>
      </c>
      <c r="G48" s="11" t="s">
        <v>731</v>
      </c>
    </row>
    <row r="49" spans="1:7" x14ac:dyDescent="0.45">
      <c r="A49" s="11" t="s">
        <v>908</v>
      </c>
      <c r="B49" s="11" t="s">
        <v>253</v>
      </c>
      <c r="C49" s="12">
        <v>46285</v>
      </c>
      <c r="D49" s="11" t="s">
        <v>905</v>
      </c>
      <c r="E49" s="11" t="s">
        <v>906</v>
      </c>
      <c r="F49" s="11" t="s">
        <v>909</v>
      </c>
      <c r="G49" s="11" t="s">
        <v>869</v>
      </c>
    </row>
    <row r="50" spans="1:7" x14ac:dyDescent="0.45">
      <c r="A50" s="11" t="s">
        <v>910</v>
      </c>
      <c r="B50" s="11" t="s">
        <v>258</v>
      </c>
      <c r="C50" s="12">
        <v>46263</v>
      </c>
      <c r="D50" s="11" t="s">
        <v>911</v>
      </c>
      <c r="E50" s="11" t="s">
        <v>912</v>
      </c>
      <c r="F50" s="11" t="s">
        <v>913</v>
      </c>
      <c r="G50" s="11" t="s">
        <v>731</v>
      </c>
    </row>
    <row r="51" spans="1:7" x14ac:dyDescent="0.45">
      <c r="A51" s="11" t="s">
        <v>914</v>
      </c>
      <c r="B51" s="11" t="s">
        <v>261</v>
      </c>
      <c r="C51" s="12">
        <v>46234</v>
      </c>
      <c r="D51" s="11" t="s">
        <v>915</v>
      </c>
      <c r="E51" s="11" t="s">
        <v>916</v>
      </c>
      <c r="F51" s="11" t="s">
        <v>917</v>
      </c>
      <c r="G51" s="11" t="s">
        <v>731</v>
      </c>
    </row>
    <row r="52" spans="1:7" x14ac:dyDescent="0.45">
      <c r="A52" s="11" t="s">
        <v>918</v>
      </c>
      <c r="B52" s="11" t="s">
        <v>269</v>
      </c>
      <c r="C52" s="12">
        <v>46206</v>
      </c>
      <c r="D52" s="11" t="s">
        <v>919</v>
      </c>
      <c r="E52" s="11" t="s">
        <v>920</v>
      </c>
      <c r="F52" s="11" t="s">
        <v>921</v>
      </c>
      <c r="G52" s="11" t="s">
        <v>736</v>
      </c>
    </row>
    <row r="53" spans="1:7" x14ac:dyDescent="0.45">
      <c r="A53" s="11" t="s">
        <v>922</v>
      </c>
      <c r="B53" s="11" t="s">
        <v>271</v>
      </c>
      <c r="C53" s="12">
        <v>46220</v>
      </c>
      <c r="D53" s="11" t="s">
        <v>878</v>
      </c>
      <c r="E53" s="11" t="s">
        <v>923</v>
      </c>
      <c r="F53" s="11" t="s">
        <v>924</v>
      </c>
      <c r="G53" s="11" t="s">
        <v>748</v>
      </c>
    </row>
    <row r="54" spans="1:7" x14ac:dyDescent="0.45">
      <c r="A54" s="11" t="s">
        <v>925</v>
      </c>
      <c r="B54" s="11" t="s">
        <v>277</v>
      </c>
      <c r="C54" s="12">
        <v>46245</v>
      </c>
      <c r="D54" s="11" t="s">
        <v>926</v>
      </c>
      <c r="E54" s="11" t="s">
        <v>927</v>
      </c>
      <c r="F54" s="11" t="s">
        <v>928</v>
      </c>
      <c r="G54" s="11" t="s">
        <v>731</v>
      </c>
    </row>
    <row r="55" spans="1:7" x14ac:dyDescent="0.45">
      <c r="A55" s="11" t="s">
        <v>929</v>
      </c>
      <c r="B55" s="11" t="s">
        <v>281</v>
      </c>
      <c r="C55" s="12">
        <v>46204</v>
      </c>
      <c r="D55" s="11" t="s">
        <v>930</v>
      </c>
      <c r="E55" s="11" t="s">
        <v>931</v>
      </c>
      <c r="F55" s="11" t="s">
        <v>932</v>
      </c>
      <c r="G55" s="11" t="s">
        <v>823</v>
      </c>
    </row>
    <row r="56" spans="1:7" x14ac:dyDescent="0.45">
      <c r="A56" s="11" t="s">
        <v>933</v>
      </c>
      <c r="B56" s="11" t="s">
        <v>283</v>
      </c>
      <c r="C56" s="12">
        <v>46269</v>
      </c>
      <c r="D56" s="11" t="s">
        <v>934</v>
      </c>
      <c r="E56" s="11" t="s">
        <v>935</v>
      </c>
      <c r="F56" s="11" t="s">
        <v>936</v>
      </c>
      <c r="G56" s="11" t="s">
        <v>748</v>
      </c>
    </row>
    <row r="57" spans="1:7" x14ac:dyDescent="0.45">
      <c r="A57" s="11" t="s">
        <v>937</v>
      </c>
      <c r="B57" s="11" t="s">
        <v>286</v>
      </c>
      <c r="C57" s="12">
        <v>46273</v>
      </c>
      <c r="D57" s="11" t="s">
        <v>938</v>
      </c>
      <c r="E57" s="11" t="s">
        <v>939</v>
      </c>
      <c r="F57" s="11" t="s">
        <v>940</v>
      </c>
      <c r="G57" s="11" t="s">
        <v>731</v>
      </c>
    </row>
    <row r="58" spans="1:7" x14ac:dyDescent="0.45">
      <c r="A58" s="11" t="s">
        <v>941</v>
      </c>
      <c r="B58" s="11" t="s">
        <v>286</v>
      </c>
      <c r="C58" s="12">
        <v>46279</v>
      </c>
      <c r="D58" s="11" t="s">
        <v>938</v>
      </c>
      <c r="E58" s="11" t="s">
        <v>939</v>
      </c>
      <c r="F58" s="11" t="s">
        <v>942</v>
      </c>
      <c r="G58" s="11" t="s">
        <v>834</v>
      </c>
    </row>
    <row r="59" spans="1:7" x14ac:dyDescent="0.45">
      <c r="A59" s="11" t="s">
        <v>943</v>
      </c>
      <c r="B59" s="11" t="s">
        <v>305</v>
      </c>
      <c r="C59" s="12">
        <v>46209</v>
      </c>
      <c r="D59" s="11" t="s">
        <v>944</v>
      </c>
      <c r="E59" s="11" t="s">
        <v>945</v>
      </c>
      <c r="F59" s="11" t="s">
        <v>946</v>
      </c>
      <c r="G59" s="11" t="s">
        <v>731</v>
      </c>
    </row>
    <row r="60" spans="1:7" x14ac:dyDescent="0.45">
      <c r="A60" s="11" t="s">
        <v>947</v>
      </c>
      <c r="B60" s="11" t="s">
        <v>308</v>
      </c>
      <c r="C60" s="12">
        <v>46271</v>
      </c>
      <c r="D60" s="11" t="s">
        <v>948</v>
      </c>
      <c r="E60" s="11" t="s">
        <v>949</v>
      </c>
      <c r="F60" s="11" t="s">
        <v>950</v>
      </c>
      <c r="G60" s="11" t="s">
        <v>823</v>
      </c>
    </row>
    <row r="61" spans="1:7" x14ac:dyDescent="0.45">
      <c r="A61" s="11" t="s">
        <v>951</v>
      </c>
      <c r="B61" s="11" t="s">
        <v>310</v>
      </c>
      <c r="C61" s="12">
        <v>46230</v>
      </c>
      <c r="D61" s="11" t="s">
        <v>773</v>
      </c>
      <c r="E61" s="11" t="s">
        <v>952</v>
      </c>
      <c r="F61" s="11" t="s">
        <v>953</v>
      </c>
      <c r="G61" s="11" t="s">
        <v>736</v>
      </c>
    </row>
    <row r="62" spans="1:7" x14ac:dyDescent="0.45">
      <c r="A62" s="11" t="s">
        <v>954</v>
      </c>
      <c r="B62" s="11" t="s">
        <v>312</v>
      </c>
      <c r="C62" s="12">
        <v>46240</v>
      </c>
      <c r="D62" s="11" t="s">
        <v>955</v>
      </c>
      <c r="E62" s="11" t="s">
        <v>956</v>
      </c>
      <c r="F62" s="11" t="s">
        <v>957</v>
      </c>
      <c r="G62" s="11" t="s">
        <v>753</v>
      </c>
    </row>
    <row r="63" spans="1:7" x14ac:dyDescent="0.45">
      <c r="A63" s="11" t="s">
        <v>958</v>
      </c>
      <c r="B63" s="11" t="s">
        <v>312</v>
      </c>
      <c r="C63" s="12">
        <v>46249</v>
      </c>
      <c r="D63" s="11" t="s">
        <v>955</v>
      </c>
      <c r="E63" s="11" t="s">
        <v>956</v>
      </c>
      <c r="F63" s="11" t="s">
        <v>959</v>
      </c>
      <c r="G63" s="11" t="s">
        <v>743</v>
      </c>
    </row>
    <row r="64" spans="1:7" x14ac:dyDescent="0.45">
      <c r="A64" s="11" t="s">
        <v>960</v>
      </c>
      <c r="B64" s="11" t="s">
        <v>318</v>
      </c>
      <c r="C64" s="12">
        <v>46194</v>
      </c>
      <c r="D64" s="11" t="s">
        <v>890</v>
      </c>
      <c r="E64" s="11" t="s">
        <v>961</v>
      </c>
      <c r="F64" s="11" t="s">
        <v>962</v>
      </c>
      <c r="G64" s="11" t="s">
        <v>731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zoomScaleNormal="100" workbookViewId="0">
      <pane ySplit="1" topLeftCell="A26" activePane="bottomLeft" state="frozen"/>
      <selection pane="bottomLeft" activeCell="H18" sqref="H18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16" customWidth="1"/>
    <col min="4" max="4" width="42" customWidth="1"/>
    <col min="5" max="5" width="13" customWidth="1"/>
  </cols>
  <sheetData>
    <row r="1" spans="1:7" ht="30" customHeight="1" x14ac:dyDescent="0.45">
      <c r="A1" s="10" t="s">
        <v>963</v>
      </c>
      <c r="B1" s="10" t="s">
        <v>66</v>
      </c>
      <c r="C1" s="10" t="s">
        <v>964</v>
      </c>
      <c r="D1" s="10" t="s">
        <v>5</v>
      </c>
      <c r="E1" s="10" t="s">
        <v>965</v>
      </c>
      <c r="G1" s="8" t="s">
        <v>966</v>
      </c>
    </row>
    <row r="2" spans="1:7" x14ac:dyDescent="0.45">
      <c r="A2" s="11" t="s">
        <v>967</v>
      </c>
      <c r="B2" s="11" t="s">
        <v>76</v>
      </c>
      <c r="C2" s="12">
        <v>46282</v>
      </c>
      <c r="D2" s="11" t="s">
        <v>968</v>
      </c>
      <c r="E2" s="13" t="b">
        <f>FALSE()</f>
        <v>0</v>
      </c>
      <c r="G2" s="8" t="s">
        <v>969</v>
      </c>
    </row>
    <row r="3" spans="1:7" x14ac:dyDescent="0.45">
      <c r="A3" s="14" t="s">
        <v>970</v>
      </c>
      <c r="B3" s="14" t="s">
        <v>85</v>
      </c>
      <c r="C3" s="15">
        <v>46266</v>
      </c>
      <c r="D3" s="14" t="s">
        <v>971</v>
      </c>
      <c r="E3" s="16" t="b">
        <f>FALSE()</f>
        <v>0</v>
      </c>
    </row>
    <row r="4" spans="1:7" x14ac:dyDescent="0.45">
      <c r="A4" s="17" t="s">
        <v>972</v>
      </c>
      <c r="B4" s="17" t="s">
        <v>92</v>
      </c>
      <c r="C4" s="18">
        <v>46246</v>
      </c>
      <c r="D4" s="17" t="s">
        <v>973</v>
      </c>
      <c r="E4" s="19" t="b">
        <f>TRUE()</f>
        <v>1</v>
      </c>
    </row>
    <row r="5" spans="1:7" x14ac:dyDescent="0.45">
      <c r="A5" s="11" t="s">
        <v>974</v>
      </c>
      <c r="B5" s="11" t="s">
        <v>105</v>
      </c>
      <c r="C5" s="12">
        <v>46284</v>
      </c>
      <c r="D5" s="11" t="s">
        <v>975</v>
      </c>
      <c r="E5" s="13" t="b">
        <f>FALSE()</f>
        <v>0</v>
      </c>
    </row>
    <row r="6" spans="1:7" x14ac:dyDescent="0.45">
      <c r="A6" s="17" t="s">
        <v>976</v>
      </c>
      <c r="B6" s="17" t="s">
        <v>123</v>
      </c>
      <c r="C6" s="18">
        <v>46201</v>
      </c>
      <c r="D6" s="17" t="s">
        <v>973</v>
      </c>
      <c r="E6" s="19" t="b">
        <f>TRUE()</f>
        <v>1</v>
      </c>
    </row>
    <row r="7" spans="1:7" x14ac:dyDescent="0.45">
      <c r="A7" s="17" t="s">
        <v>977</v>
      </c>
      <c r="B7" s="17" t="s">
        <v>127</v>
      </c>
      <c r="C7" s="18">
        <v>46250</v>
      </c>
      <c r="D7" s="17" t="s">
        <v>973</v>
      </c>
      <c r="E7" s="19" t="b">
        <f>TRUE()</f>
        <v>1</v>
      </c>
    </row>
    <row r="8" spans="1:7" x14ac:dyDescent="0.45">
      <c r="A8" s="11" t="s">
        <v>978</v>
      </c>
      <c r="B8" s="11" t="s">
        <v>129</v>
      </c>
      <c r="C8" s="12">
        <v>46280</v>
      </c>
      <c r="D8" s="11" t="s">
        <v>971</v>
      </c>
      <c r="E8" s="13" t="b">
        <f>FALSE()</f>
        <v>0</v>
      </c>
    </row>
    <row r="9" spans="1:7" x14ac:dyDescent="0.45">
      <c r="A9" s="17" t="s">
        <v>979</v>
      </c>
      <c r="B9" s="17" t="s">
        <v>132</v>
      </c>
      <c r="C9" s="18">
        <v>46278</v>
      </c>
      <c r="D9" s="17" t="s">
        <v>973</v>
      </c>
      <c r="E9" s="19" t="b">
        <f>TRUE()</f>
        <v>1</v>
      </c>
    </row>
    <row r="10" spans="1:7" x14ac:dyDescent="0.45">
      <c r="A10" s="17" t="s">
        <v>980</v>
      </c>
      <c r="B10" s="17" t="s">
        <v>134</v>
      </c>
      <c r="C10" s="18">
        <v>46179</v>
      </c>
      <c r="D10" s="17" t="s">
        <v>973</v>
      </c>
      <c r="E10" s="19" t="b">
        <f>TRUE()</f>
        <v>1</v>
      </c>
    </row>
    <row r="11" spans="1:7" x14ac:dyDescent="0.45">
      <c r="A11" s="11" t="s">
        <v>981</v>
      </c>
      <c r="B11" s="11" t="s">
        <v>141</v>
      </c>
      <c r="C11" s="12">
        <v>46281</v>
      </c>
      <c r="D11" s="11" t="s">
        <v>975</v>
      </c>
      <c r="E11" s="13" t="b">
        <f>FALSE()</f>
        <v>0</v>
      </c>
    </row>
    <row r="12" spans="1:7" x14ac:dyDescent="0.45">
      <c r="A12" s="17" t="s">
        <v>982</v>
      </c>
      <c r="B12" s="17" t="s">
        <v>143</v>
      </c>
      <c r="C12" s="18">
        <v>46223</v>
      </c>
      <c r="D12" s="17" t="s">
        <v>968</v>
      </c>
      <c r="E12" s="19" t="b">
        <f>TRUE()</f>
        <v>1</v>
      </c>
    </row>
    <row r="13" spans="1:7" x14ac:dyDescent="0.45">
      <c r="A13" s="17" t="s">
        <v>983</v>
      </c>
      <c r="B13" s="17" t="s">
        <v>147</v>
      </c>
      <c r="C13" s="18">
        <v>46190</v>
      </c>
      <c r="D13" s="17" t="s">
        <v>968</v>
      </c>
      <c r="E13" s="19" t="b">
        <f>TRUE()</f>
        <v>1</v>
      </c>
    </row>
    <row r="14" spans="1:7" x14ac:dyDescent="0.45">
      <c r="A14" s="17" t="s">
        <v>984</v>
      </c>
      <c r="B14" s="17" t="s">
        <v>160</v>
      </c>
      <c r="C14" s="18">
        <v>46237</v>
      </c>
      <c r="D14" s="17" t="s">
        <v>973</v>
      </c>
      <c r="E14" s="19" t="b">
        <f>TRUE()</f>
        <v>1</v>
      </c>
    </row>
    <row r="15" spans="1:7" x14ac:dyDescent="0.45">
      <c r="A15" s="14" t="s">
        <v>985</v>
      </c>
      <c r="B15" s="14" t="s">
        <v>162</v>
      </c>
      <c r="C15" s="15">
        <v>46274</v>
      </c>
      <c r="D15" s="14" t="s">
        <v>986</v>
      </c>
      <c r="E15" s="16" t="b">
        <f>FALSE()</f>
        <v>0</v>
      </c>
    </row>
    <row r="16" spans="1:7" x14ac:dyDescent="0.45">
      <c r="A16" s="14" t="s">
        <v>987</v>
      </c>
      <c r="B16" s="14" t="s">
        <v>166</v>
      </c>
      <c r="C16" s="15">
        <v>46265</v>
      </c>
      <c r="D16" s="14" t="s">
        <v>988</v>
      </c>
      <c r="E16" s="16" t="b">
        <f>FALSE()</f>
        <v>0</v>
      </c>
    </row>
    <row r="17" spans="1:5" x14ac:dyDescent="0.45">
      <c r="A17" s="17" t="s">
        <v>989</v>
      </c>
      <c r="B17" s="17" t="s">
        <v>192</v>
      </c>
      <c r="C17" s="18">
        <v>46260</v>
      </c>
      <c r="D17" s="17" t="s">
        <v>971</v>
      </c>
      <c r="E17" s="19" t="b">
        <f>TRUE()</f>
        <v>1</v>
      </c>
    </row>
    <row r="18" spans="1:5" x14ac:dyDescent="0.45">
      <c r="A18" s="14" t="s">
        <v>990</v>
      </c>
      <c r="B18" s="14" t="s">
        <v>196</v>
      </c>
      <c r="C18" s="15">
        <v>46268</v>
      </c>
      <c r="D18" s="14" t="s">
        <v>988</v>
      </c>
      <c r="E18" s="16" t="b">
        <f>FALSE()</f>
        <v>0</v>
      </c>
    </row>
    <row r="19" spans="1:5" x14ac:dyDescent="0.45">
      <c r="A19" s="14" t="s">
        <v>991</v>
      </c>
      <c r="B19" s="14" t="s">
        <v>199</v>
      </c>
      <c r="C19" s="15">
        <v>46274</v>
      </c>
      <c r="D19" s="14" t="s">
        <v>988</v>
      </c>
      <c r="E19" s="16" t="b">
        <f>FALSE()</f>
        <v>0</v>
      </c>
    </row>
    <row r="20" spans="1:5" x14ac:dyDescent="0.45">
      <c r="A20" s="11" t="s">
        <v>992</v>
      </c>
      <c r="B20" s="11" t="s">
        <v>201</v>
      </c>
      <c r="C20" s="12">
        <v>46281</v>
      </c>
      <c r="D20" s="11" t="s">
        <v>975</v>
      </c>
      <c r="E20" s="13" t="b">
        <f>FALSE()</f>
        <v>0</v>
      </c>
    </row>
    <row r="21" spans="1:5" x14ac:dyDescent="0.45">
      <c r="A21" s="17" t="s">
        <v>993</v>
      </c>
      <c r="B21" s="17" t="s">
        <v>202</v>
      </c>
      <c r="C21" s="18">
        <v>46197</v>
      </c>
      <c r="D21" s="17" t="s">
        <v>986</v>
      </c>
      <c r="E21" s="19" t="b">
        <f>TRUE()</f>
        <v>1</v>
      </c>
    </row>
    <row r="22" spans="1:5" x14ac:dyDescent="0.45">
      <c r="A22" s="11" t="s">
        <v>994</v>
      </c>
      <c r="B22" s="11" t="s">
        <v>212</v>
      </c>
      <c r="C22" s="12">
        <v>46281</v>
      </c>
      <c r="D22" s="11" t="s">
        <v>988</v>
      </c>
      <c r="E22" s="13" t="b">
        <f>FALSE()</f>
        <v>0</v>
      </c>
    </row>
    <row r="23" spans="1:5" x14ac:dyDescent="0.45">
      <c r="A23" s="11" t="s">
        <v>995</v>
      </c>
      <c r="B23" s="11" t="s">
        <v>213</v>
      </c>
      <c r="C23" s="12">
        <v>46279</v>
      </c>
      <c r="D23" s="11" t="s">
        <v>968</v>
      </c>
      <c r="E23" s="13" t="b">
        <f>FALSE()</f>
        <v>0</v>
      </c>
    </row>
    <row r="24" spans="1:5" x14ac:dyDescent="0.45">
      <c r="A24" s="14" t="s">
        <v>996</v>
      </c>
      <c r="B24" s="14" t="s">
        <v>215</v>
      </c>
      <c r="C24" s="15">
        <v>46265</v>
      </c>
      <c r="D24" s="14" t="s">
        <v>968</v>
      </c>
      <c r="E24" s="16" t="b">
        <f>FALSE()</f>
        <v>0</v>
      </c>
    </row>
    <row r="25" spans="1:5" x14ac:dyDescent="0.45">
      <c r="A25" s="14" t="s">
        <v>997</v>
      </c>
      <c r="B25" s="14" t="s">
        <v>225</v>
      </c>
      <c r="C25" s="15">
        <v>46258</v>
      </c>
      <c r="D25" s="14" t="s">
        <v>968</v>
      </c>
      <c r="E25" s="16" t="b">
        <f>FALSE()</f>
        <v>0</v>
      </c>
    </row>
    <row r="26" spans="1:5" x14ac:dyDescent="0.45">
      <c r="A26" s="14" t="s">
        <v>998</v>
      </c>
      <c r="B26" s="14" t="s">
        <v>233</v>
      </c>
      <c r="C26" s="15">
        <v>46261</v>
      </c>
      <c r="D26" s="14" t="s">
        <v>968</v>
      </c>
      <c r="E26" s="16" t="b">
        <f>FALSE()</f>
        <v>0</v>
      </c>
    </row>
    <row r="27" spans="1:5" x14ac:dyDescent="0.45">
      <c r="A27" s="14" t="s">
        <v>999</v>
      </c>
      <c r="B27" s="14" t="s">
        <v>238</v>
      </c>
      <c r="C27" s="15">
        <v>46268</v>
      </c>
      <c r="D27" s="14" t="s">
        <v>988</v>
      </c>
      <c r="E27" s="16" t="b">
        <f>FALSE()</f>
        <v>0</v>
      </c>
    </row>
    <row r="28" spans="1:5" x14ac:dyDescent="0.45">
      <c r="A28" s="17" t="s">
        <v>1000</v>
      </c>
      <c r="B28" s="17" t="s">
        <v>239</v>
      </c>
      <c r="C28" s="18">
        <v>46232</v>
      </c>
      <c r="D28" s="17" t="s">
        <v>971</v>
      </c>
      <c r="E28" s="19" t="b">
        <f>TRUE()</f>
        <v>1</v>
      </c>
    </row>
    <row r="29" spans="1:5" x14ac:dyDescent="0.45">
      <c r="A29" s="17" t="s">
        <v>1001</v>
      </c>
      <c r="B29" s="17" t="s">
        <v>245</v>
      </c>
      <c r="C29" s="18">
        <v>46196</v>
      </c>
      <c r="D29" s="17" t="s">
        <v>971</v>
      </c>
      <c r="E29" s="19" t="b">
        <f>TRUE()</f>
        <v>1</v>
      </c>
    </row>
    <row r="30" spans="1:5" x14ac:dyDescent="0.45">
      <c r="A30" s="14" t="s">
        <v>1002</v>
      </c>
      <c r="B30" s="14" t="s">
        <v>248</v>
      </c>
      <c r="C30" s="15">
        <v>46264</v>
      </c>
      <c r="D30" s="14" t="s">
        <v>988</v>
      </c>
      <c r="E30" s="16" t="b">
        <f>FALSE()</f>
        <v>0</v>
      </c>
    </row>
    <row r="31" spans="1:5" x14ac:dyDescent="0.45">
      <c r="A31" s="11" t="s">
        <v>1003</v>
      </c>
      <c r="B31" s="11" t="s">
        <v>254</v>
      </c>
      <c r="C31" s="12">
        <v>46284</v>
      </c>
      <c r="D31" s="11" t="s">
        <v>971</v>
      </c>
      <c r="E31" s="13" t="b">
        <f>FALSE()</f>
        <v>0</v>
      </c>
    </row>
    <row r="32" spans="1:5" x14ac:dyDescent="0.45">
      <c r="A32" s="11" t="s">
        <v>1004</v>
      </c>
      <c r="B32" s="11" t="s">
        <v>271</v>
      </c>
      <c r="C32" s="12">
        <v>46283</v>
      </c>
      <c r="D32" s="11" t="s">
        <v>975</v>
      </c>
      <c r="E32" s="13" t="b">
        <f>FALSE()</f>
        <v>0</v>
      </c>
    </row>
    <row r="33" spans="1:5" x14ac:dyDescent="0.45">
      <c r="A33" s="17" t="s">
        <v>1005</v>
      </c>
      <c r="B33" s="17" t="s">
        <v>274</v>
      </c>
      <c r="C33" s="18">
        <v>46222</v>
      </c>
      <c r="D33" s="17" t="s">
        <v>973</v>
      </c>
      <c r="E33" s="19" t="b">
        <f>TRUE()</f>
        <v>1</v>
      </c>
    </row>
    <row r="34" spans="1:5" x14ac:dyDescent="0.45">
      <c r="A34" s="17" t="s">
        <v>1006</v>
      </c>
      <c r="B34" s="17" t="s">
        <v>278</v>
      </c>
      <c r="C34" s="18">
        <v>46223</v>
      </c>
      <c r="D34" s="17" t="s">
        <v>973</v>
      </c>
      <c r="E34" s="19" t="b">
        <f>TRUE()</f>
        <v>1</v>
      </c>
    </row>
    <row r="35" spans="1:5" x14ac:dyDescent="0.45">
      <c r="A35" s="11" t="s">
        <v>1007</v>
      </c>
      <c r="B35" s="11" t="s">
        <v>281</v>
      </c>
      <c r="C35" s="12">
        <v>46283</v>
      </c>
      <c r="D35" s="11" t="s">
        <v>968</v>
      </c>
      <c r="E35" s="13" t="b">
        <f>FALSE()</f>
        <v>0</v>
      </c>
    </row>
    <row r="36" spans="1:5" x14ac:dyDescent="0.45">
      <c r="A36" s="17" t="s">
        <v>1008</v>
      </c>
      <c r="B36" s="17" t="s">
        <v>286</v>
      </c>
      <c r="C36" s="18">
        <v>46266</v>
      </c>
      <c r="D36" s="17" t="s">
        <v>973</v>
      </c>
      <c r="E36" s="19" t="b">
        <f>TRUE()</f>
        <v>1</v>
      </c>
    </row>
    <row r="37" spans="1:5" x14ac:dyDescent="0.45">
      <c r="A37" s="14" t="s">
        <v>1009</v>
      </c>
      <c r="B37" s="14" t="s">
        <v>289</v>
      </c>
      <c r="C37" s="15">
        <v>46261</v>
      </c>
      <c r="D37" s="14" t="s">
        <v>975</v>
      </c>
      <c r="E37" s="16" t="b">
        <f>FALSE()</f>
        <v>0</v>
      </c>
    </row>
    <row r="38" spans="1:5" x14ac:dyDescent="0.45">
      <c r="A38" s="17" t="s">
        <v>1010</v>
      </c>
      <c r="B38" s="17" t="s">
        <v>295</v>
      </c>
      <c r="C38" s="18">
        <v>46209</v>
      </c>
      <c r="D38" s="17" t="s">
        <v>973</v>
      </c>
      <c r="E38" s="19" t="b">
        <f>TRUE()</f>
        <v>1</v>
      </c>
    </row>
    <row r="39" spans="1:5" x14ac:dyDescent="0.45">
      <c r="A39" s="17" t="s">
        <v>1011</v>
      </c>
      <c r="B39" s="17" t="s">
        <v>300</v>
      </c>
      <c r="C39" s="18">
        <v>46185</v>
      </c>
      <c r="D39" s="17" t="s">
        <v>973</v>
      </c>
      <c r="E39" s="19" t="b">
        <f>TRUE()</f>
        <v>1</v>
      </c>
    </row>
    <row r="40" spans="1:5" x14ac:dyDescent="0.45">
      <c r="A40" s="11" t="s">
        <v>1012</v>
      </c>
      <c r="B40" s="11" t="s">
        <v>305</v>
      </c>
      <c r="C40" s="12">
        <v>46283</v>
      </c>
      <c r="D40" s="11" t="s">
        <v>986</v>
      </c>
      <c r="E40" s="13" t="b">
        <f>FALSE()</f>
        <v>0</v>
      </c>
    </row>
    <row r="41" spans="1:5" x14ac:dyDescent="0.45">
      <c r="A41" s="11" t="s">
        <v>1013</v>
      </c>
      <c r="B41" s="11" t="s">
        <v>310</v>
      </c>
      <c r="C41" s="12">
        <v>46282</v>
      </c>
      <c r="D41" s="11" t="s">
        <v>968</v>
      </c>
      <c r="E41" s="13" t="b">
        <f>FALSE()</f>
        <v>0</v>
      </c>
    </row>
    <row r="42" spans="1:5" x14ac:dyDescent="0.45">
      <c r="A42" s="14" t="s">
        <v>1014</v>
      </c>
      <c r="B42" s="14" t="s">
        <v>314</v>
      </c>
      <c r="C42" s="15">
        <v>46274</v>
      </c>
      <c r="D42" s="14" t="s">
        <v>968</v>
      </c>
      <c r="E42" s="16" t="b">
        <f>FALSE()</f>
        <v>0</v>
      </c>
    </row>
    <row r="43" spans="1:5" x14ac:dyDescent="0.45">
      <c r="A43" s="14" t="s">
        <v>1015</v>
      </c>
      <c r="B43" s="14" t="s">
        <v>316</v>
      </c>
      <c r="C43" s="15">
        <v>46266</v>
      </c>
      <c r="D43" s="14" t="s">
        <v>971</v>
      </c>
      <c r="E43" s="16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4" customWidth="1"/>
    <col min="2" max="2" width="20" customWidth="1"/>
    <col min="3" max="3" width="70" customWidth="1"/>
    <col min="4" max="4" width="30" customWidth="1"/>
  </cols>
  <sheetData>
    <row r="1" spans="1:4" ht="30" customHeight="1" x14ac:dyDescent="0.45">
      <c r="A1" s="10" t="s">
        <v>3</v>
      </c>
      <c r="B1" s="10" t="s">
        <v>1016</v>
      </c>
      <c r="C1" s="10" t="s">
        <v>1017</v>
      </c>
      <c r="D1" s="10" t="s">
        <v>1018</v>
      </c>
    </row>
    <row r="2" spans="1:4" x14ac:dyDescent="0.45">
      <c r="A2" s="11" t="s">
        <v>1019</v>
      </c>
      <c r="B2" s="11" t="s">
        <v>40</v>
      </c>
      <c r="C2" s="20" t="s">
        <v>1020</v>
      </c>
      <c r="D2" s="11" t="s">
        <v>46</v>
      </c>
    </row>
    <row r="3" spans="1:4" x14ac:dyDescent="0.45">
      <c r="A3" s="11" t="s">
        <v>1019</v>
      </c>
      <c r="B3" s="11" t="s">
        <v>41</v>
      </c>
      <c r="C3" s="20" t="s">
        <v>1021</v>
      </c>
      <c r="D3" s="11" t="s">
        <v>47</v>
      </c>
    </row>
    <row r="4" spans="1:4" ht="25.5" x14ac:dyDescent="0.45">
      <c r="A4" s="11" t="s">
        <v>1019</v>
      </c>
      <c r="B4" s="11" t="s">
        <v>42</v>
      </c>
      <c r="C4" s="20" t="s">
        <v>1022</v>
      </c>
      <c r="D4" s="11" t="s">
        <v>1023</v>
      </c>
    </row>
    <row r="5" spans="1:4" x14ac:dyDescent="0.45">
      <c r="A5" s="11" t="s">
        <v>1019</v>
      </c>
      <c r="B5" s="11" t="s">
        <v>43</v>
      </c>
      <c r="C5" s="20" t="s">
        <v>1024</v>
      </c>
      <c r="D5" s="11" t="s">
        <v>1025</v>
      </c>
    </row>
    <row r="6" spans="1:4" x14ac:dyDescent="0.45">
      <c r="A6" s="11" t="s">
        <v>1019</v>
      </c>
      <c r="B6" s="11" t="s">
        <v>1026</v>
      </c>
      <c r="C6" s="20" t="s">
        <v>1027</v>
      </c>
      <c r="D6" s="11" t="s">
        <v>49</v>
      </c>
    </row>
    <row r="7" spans="1:4" x14ac:dyDescent="0.45">
      <c r="A7" s="11" t="s">
        <v>1028</v>
      </c>
      <c r="B7" s="11" t="s">
        <v>66</v>
      </c>
      <c r="C7" s="20" t="s">
        <v>1029</v>
      </c>
      <c r="D7" s="11" t="s">
        <v>73</v>
      </c>
    </row>
    <row r="8" spans="1:4" x14ac:dyDescent="0.45">
      <c r="A8" s="11" t="s">
        <v>1028</v>
      </c>
      <c r="B8" s="11" t="s">
        <v>40</v>
      </c>
      <c r="C8" s="20" t="s">
        <v>1030</v>
      </c>
      <c r="D8" s="11" t="s">
        <v>46</v>
      </c>
    </row>
    <row r="9" spans="1:4" x14ac:dyDescent="0.45">
      <c r="A9" s="11" t="s">
        <v>1028</v>
      </c>
      <c r="B9" s="11" t="s">
        <v>67</v>
      </c>
      <c r="C9" s="20" t="s">
        <v>1031</v>
      </c>
      <c r="D9" s="11" t="s">
        <v>74</v>
      </c>
    </row>
    <row r="10" spans="1:4" x14ac:dyDescent="0.45">
      <c r="A10" s="11" t="s">
        <v>1028</v>
      </c>
      <c r="B10" s="11" t="s">
        <v>68</v>
      </c>
      <c r="C10" s="20" t="s">
        <v>1032</v>
      </c>
      <c r="D10" s="11" t="s">
        <v>75</v>
      </c>
    </row>
    <row r="11" spans="1:4" x14ac:dyDescent="0.45">
      <c r="A11" s="11" t="s">
        <v>1028</v>
      </c>
      <c r="B11" s="11" t="s">
        <v>27</v>
      </c>
      <c r="C11" s="20" t="s">
        <v>1033</v>
      </c>
      <c r="D11" s="11" t="s">
        <v>29</v>
      </c>
    </row>
    <row r="12" spans="1:4" x14ac:dyDescent="0.45">
      <c r="A12" s="11" t="s">
        <v>1028</v>
      </c>
      <c r="B12" s="11" t="s">
        <v>69</v>
      </c>
      <c r="C12" s="20" t="s">
        <v>1034</v>
      </c>
      <c r="D12" s="11" t="s">
        <v>1035</v>
      </c>
    </row>
    <row r="13" spans="1:4" ht="25.5" x14ac:dyDescent="0.45">
      <c r="A13" s="11" t="s">
        <v>1028</v>
      </c>
      <c r="B13" s="11" t="s">
        <v>70</v>
      </c>
      <c r="C13" s="20" t="s">
        <v>1036</v>
      </c>
      <c r="D13" s="11" t="s">
        <v>14</v>
      </c>
    </row>
    <row r="14" spans="1:4" x14ac:dyDescent="0.45">
      <c r="A14" s="11" t="s">
        <v>1028</v>
      </c>
      <c r="B14" s="11" t="s">
        <v>71</v>
      </c>
      <c r="C14" s="20" t="s">
        <v>1037</v>
      </c>
      <c r="D14" s="11" t="s">
        <v>1038</v>
      </c>
    </row>
    <row r="15" spans="1:4" x14ac:dyDescent="0.45">
      <c r="A15" s="11" t="s">
        <v>1028</v>
      </c>
      <c r="B15" s="11" t="s">
        <v>72</v>
      </c>
      <c r="C15" s="20" t="s">
        <v>1039</v>
      </c>
      <c r="D15" s="11" t="s">
        <v>1040</v>
      </c>
    </row>
    <row r="16" spans="1:4" x14ac:dyDescent="0.45">
      <c r="A16" s="11" t="s">
        <v>10</v>
      </c>
      <c r="B16" s="11" t="s">
        <v>319</v>
      </c>
      <c r="C16" s="20" t="s">
        <v>1041</v>
      </c>
      <c r="D16" s="11" t="s">
        <v>323</v>
      </c>
    </row>
    <row r="17" spans="1:4" x14ac:dyDescent="0.45">
      <c r="A17" s="11" t="s">
        <v>10</v>
      </c>
      <c r="B17" s="11" t="s">
        <v>66</v>
      </c>
      <c r="C17" s="20" t="s">
        <v>1042</v>
      </c>
      <c r="D17" s="11" t="s">
        <v>92</v>
      </c>
    </row>
    <row r="18" spans="1:4" x14ac:dyDescent="0.45">
      <c r="A18" s="11" t="s">
        <v>10</v>
      </c>
      <c r="B18" s="11" t="s">
        <v>320</v>
      </c>
      <c r="C18" s="20" t="s">
        <v>1043</v>
      </c>
      <c r="D18" s="11" t="s">
        <v>21</v>
      </c>
    </row>
    <row r="19" spans="1:4" ht="25.5" x14ac:dyDescent="0.45">
      <c r="A19" s="11" t="s">
        <v>10</v>
      </c>
      <c r="B19" s="11" t="s">
        <v>321</v>
      </c>
      <c r="C19" s="20" t="s">
        <v>1044</v>
      </c>
      <c r="D19" s="11" t="s">
        <v>14</v>
      </c>
    </row>
    <row r="20" spans="1:4" x14ac:dyDescent="0.45">
      <c r="A20" s="11" t="s">
        <v>10</v>
      </c>
      <c r="B20" s="11" t="s">
        <v>322</v>
      </c>
      <c r="C20" s="20" t="s">
        <v>1045</v>
      </c>
      <c r="D20" s="11" t="s">
        <v>1046</v>
      </c>
    </row>
    <row r="21" spans="1:4" x14ac:dyDescent="0.45">
      <c r="A21" s="11" t="s">
        <v>12</v>
      </c>
      <c r="B21" s="11" t="s">
        <v>452</v>
      </c>
      <c r="C21" s="20" t="s">
        <v>1047</v>
      </c>
      <c r="D21" s="11" t="s">
        <v>456</v>
      </c>
    </row>
    <row r="22" spans="1:4" x14ac:dyDescent="0.45">
      <c r="A22" s="11" t="s">
        <v>12</v>
      </c>
      <c r="B22" s="11" t="s">
        <v>66</v>
      </c>
      <c r="C22" s="20" t="s">
        <v>1048</v>
      </c>
      <c r="D22" s="11" t="s">
        <v>73</v>
      </c>
    </row>
    <row r="23" spans="1:4" x14ac:dyDescent="0.45">
      <c r="A23" s="11" t="s">
        <v>12</v>
      </c>
      <c r="B23" s="11" t="s">
        <v>453</v>
      </c>
      <c r="C23" s="20" t="s">
        <v>1049</v>
      </c>
      <c r="D23" s="11" t="s">
        <v>457</v>
      </c>
    </row>
    <row r="24" spans="1:4" x14ac:dyDescent="0.45">
      <c r="A24" s="11" t="s">
        <v>12</v>
      </c>
      <c r="B24" s="11" t="s">
        <v>454</v>
      </c>
      <c r="C24" s="20" t="s">
        <v>1050</v>
      </c>
      <c r="D24" s="11" t="s">
        <v>458</v>
      </c>
    </row>
    <row r="25" spans="1:4" x14ac:dyDescent="0.45">
      <c r="A25" s="11" t="s">
        <v>12</v>
      </c>
      <c r="B25" s="11" t="s">
        <v>455</v>
      </c>
      <c r="C25" s="20" t="s">
        <v>1051</v>
      </c>
      <c r="D25" s="11" t="s">
        <v>459</v>
      </c>
    </row>
    <row r="26" spans="1:4" x14ac:dyDescent="0.45">
      <c r="A26" s="11" t="s">
        <v>14</v>
      </c>
      <c r="B26" s="11" t="s">
        <v>722</v>
      </c>
      <c r="C26" s="20" t="s">
        <v>1052</v>
      </c>
      <c r="D26" s="11" t="s">
        <v>727</v>
      </c>
    </row>
    <row r="27" spans="1:4" x14ac:dyDescent="0.45">
      <c r="A27" s="11" t="s">
        <v>14</v>
      </c>
      <c r="B27" s="11" t="s">
        <v>66</v>
      </c>
      <c r="C27" s="20" t="s">
        <v>1053</v>
      </c>
      <c r="D27" s="11" t="s">
        <v>92</v>
      </c>
    </row>
    <row r="28" spans="1:4" x14ac:dyDescent="0.45">
      <c r="A28" s="11" t="s">
        <v>14</v>
      </c>
      <c r="B28" s="11" t="s">
        <v>723</v>
      </c>
      <c r="C28" s="20" t="s">
        <v>1054</v>
      </c>
      <c r="D28" s="11" t="s">
        <v>1046</v>
      </c>
    </row>
    <row r="29" spans="1:4" x14ac:dyDescent="0.45">
      <c r="A29" s="11" t="s">
        <v>14</v>
      </c>
      <c r="B29" s="11" t="s">
        <v>724</v>
      </c>
      <c r="C29" s="20" t="s">
        <v>1055</v>
      </c>
      <c r="D29" s="11" t="s">
        <v>759</v>
      </c>
    </row>
    <row r="30" spans="1:4" x14ac:dyDescent="0.45">
      <c r="A30" s="11" t="s">
        <v>14</v>
      </c>
      <c r="B30" s="11" t="s">
        <v>725</v>
      </c>
      <c r="C30" s="20" t="s">
        <v>1056</v>
      </c>
      <c r="D30" s="11" t="s">
        <v>1057</v>
      </c>
    </row>
    <row r="31" spans="1:4" x14ac:dyDescent="0.45">
      <c r="A31" s="11" t="s">
        <v>14</v>
      </c>
      <c r="B31" s="11" t="s">
        <v>726</v>
      </c>
      <c r="C31" s="20" t="s">
        <v>1058</v>
      </c>
      <c r="D31" s="11" t="s">
        <v>1059</v>
      </c>
    </row>
    <row r="32" spans="1:4" x14ac:dyDescent="0.45">
      <c r="A32" s="11" t="s">
        <v>14</v>
      </c>
      <c r="B32" s="11" t="s">
        <v>5</v>
      </c>
      <c r="C32" s="20" t="s">
        <v>1060</v>
      </c>
      <c r="D32" s="11" t="s">
        <v>736</v>
      </c>
    </row>
    <row r="33" spans="1:4" x14ac:dyDescent="0.45">
      <c r="A33" s="11" t="s">
        <v>16</v>
      </c>
      <c r="B33" s="11" t="s">
        <v>963</v>
      </c>
      <c r="C33" s="20" t="s">
        <v>1061</v>
      </c>
      <c r="D33" s="11" t="s">
        <v>967</v>
      </c>
    </row>
    <row r="34" spans="1:4" x14ac:dyDescent="0.45">
      <c r="A34" s="11" t="s">
        <v>16</v>
      </c>
      <c r="B34" s="11" t="s">
        <v>66</v>
      </c>
      <c r="C34" s="20" t="s">
        <v>1062</v>
      </c>
      <c r="D34" s="11" t="s">
        <v>92</v>
      </c>
    </row>
    <row r="35" spans="1:4" x14ac:dyDescent="0.45">
      <c r="A35" s="11" t="s">
        <v>16</v>
      </c>
      <c r="B35" s="11" t="s">
        <v>964</v>
      </c>
      <c r="C35" s="20" t="s">
        <v>1063</v>
      </c>
      <c r="D35" s="11" t="s">
        <v>1064</v>
      </c>
    </row>
    <row r="36" spans="1:4" x14ac:dyDescent="0.45">
      <c r="A36" s="11" t="s">
        <v>16</v>
      </c>
      <c r="B36" s="11" t="s">
        <v>5</v>
      </c>
      <c r="C36" s="20" t="s">
        <v>1065</v>
      </c>
      <c r="D36" s="11" t="s">
        <v>973</v>
      </c>
    </row>
    <row r="37" spans="1:4" ht="25.5" x14ac:dyDescent="0.45">
      <c r="A37" s="11" t="s">
        <v>16</v>
      </c>
      <c r="B37" s="11" t="s">
        <v>965</v>
      </c>
      <c r="C37" s="20" t="s">
        <v>1066</v>
      </c>
      <c r="D37" s="11" t="s">
        <v>1067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 Summary</vt:lpstr>
      <vt:lpstr>Users</vt:lpstr>
      <vt:lpstr>Applications</vt:lpstr>
      <vt:lpstr>StatusHistory</vt:lpstr>
      <vt:lpstr>Document</vt:lpstr>
      <vt:lpstr>Interview</vt:lpstr>
      <vt:lpstr>FollowUp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Pooja Tiwari</cp:lastModifiedBy>
  <cp:revision>0</cp:revision>
  <dcterms:created xsi:type="dcterms:W3CDTF">2026-09-13T11:36:52Z</dcterms:created>
  <dcterms:modified xsi:type="dcterms:W3CDTF">2026-09-13T11:49:07Z</dcterms:modified>
  <dc:language>en-US</dc:language>
</cp:coreProperties>
</file>